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<sst xmlns="http://schemas.openxmlformats.org/spreadsheetml/2006/main" count="2002" uniqueCount="286">
  <si>
    <t>Issue Type</t>
  </si>
  <si>
    <t>Key</t>
  </si>
  <si>
    <t>Summary</t>
  </si>
  <si>
    <t>Assignee</t>
  </si>
  <si>
    <t>Reporter</t>
  </si>
  <si>
    <t>Priority</t>
  </si>
  <si>
    <t>Status</t>
  </si>
  <si>
    <t>Resolution</t>
  </si>
  <si>
    <t>Created</t>
  </si>
  <si>
    <t>Updated</t>
  </si>
  <si>
    <t>Due date</t>
  </si>
  <si>
    <t>Number of Bugs</t>
  </si>
  <si>
    <t>Bug</t>
  </si>
  <si>
    <t xml:space="preserve">1.0.03 Peecee - Scratch with C-Macros - 180, 360, and Mini or DC motors Functions Bug; </t>
  </si>
  <si>
    <t>Nikhil Robinson</t>
  </si>
  <si>
    <t>NareshKumar</t>
  </si>
  <si>
    <t>Medium</t>
  </si>
  <si>
    <t>Done</t>
  </si>
  <si>
    <t/>
  </si>
  <si>
    <t>1.0.03 Peecee - Scratch - Accelerometer &amp; Gyro Function Bug;</t>
  </si>
  <si>
    <t>1.0 Hexapod - Scratch - Ultrasonic sensor Function Bug;</t>
  </si>
  <si>
    <t>1.0 Hexapod - Scratch - If Else condition Function Bug;</t>
  </si>
  <si>
    <t>64, PeeCee V1, 1.0.02 firmware test-ultrasonic sensor/All UIs.</t>
  </si>
  <si>
    <t>79, PEECEE V0.1-micropython/test on web-Overall issues</t>
  </si>
  <si>
    <t>96, Peecee V1 C programming test/ servos EF.</t>
  </si>
  <si>
    <t>PLAYC-864 1.0 PeeCee - New Scratch C Bug ( Web)</t>
  </si>
  <si>
    <t>1.0 PeeCee - MicroPython - Touchpad 2 &amp; 3 Function Swapped- Hardware Bug;</t>
  </si>
  <si>
    <t>1.0 Peecee - MicroPython - 180 Servo Motors E &amp; F Ports Function - Hardware Bug;</t>
  </si>
  <si>
    <t>1.0 PeeCee - MicroPython - A2, B2, C2, E2, and F2 Ports i/p - Hardware Bug;</t>
  </si>
  <si>
    <t>1.0.03 PeeCee - C-MACROS - Hardware bug;</t>
  </si>
  <si>
    <t>1.0.03 PeeCee - Upload Issue</t>
  </si>
  <si>
    <t>1.0.03 PeeCee C macros</t>
  </si>
  <si>
    <t>0.1 PeeCee - RGB - Program Uploading - Hardware Bug;</t>
  </si>
  <si>
    <t>1.0.03 PeeCee - Hex Screen - RGB Program PeeCee Resetting - Hardware Bug;</t>
  </si>
  <si>
    <t>0.1 PeeCee - Flowchart Screen - RGB Enable Resetting - Hardware Bug;</t>
  </si>
  <si>
    <t>0.1 PeeCee - Hex Screen - Start Panel Counter Function - Hardware Bug;</t>
  </si>
  <si>
    <t>1.0 PeeCee - Hex Screen - Start panel - Hardware Bug;</t>
  </si>
  <si>
    <t>1.0.03 PeeCee - Hex Screen Start Panel - Hardware Bug;</t>
  </si>
  <si>
    <t>0.1 &amp; 1.0 PeeCee - Hex&amp;Flowchart Screen - WAIT Panel Function - Hardware Bug;</t>
  </si>
  <si>
    <t>0.1 PeeCee - Flowchart Screen - 4-1 sensor with any o/p Function - Hardware Bug;</t>
  </si>
  <si>
    <t>1.0.03 PeeCee - PC USB cable connection with Erase Button Function - Hardware Bug;</t>
  </si>
  <si>
    <t>1.0.03 PeeCee- Hex Screen - Plain Code Uploading Issue - Hardware Bug;</t>
  </si>
  <si>
    <t>1.0.03 PeeCee - Assemble page - Temp Value - Hardware Bug;</t>
  </si>
  <si>
    <t>91. 0.1zing-hex/create action-web</t>
  </si>
  <si>
    <t>1.0 Zing - Assemble screen &amp; Flowchart Decision panel - Digital &amp; Analog Readings - Hardware Bug;</t>
  </si>
  <si>
    <t>0.1 &amp; 1.0 Zing - Joystick - Walk Action - Hardware Bug;</t>
  </si>
  <si>
    <t>60. Product-Zing V1.0 Issue related to-M1,M2 and S1S2 Test on-Android Issue Type-Firmware</t>
  </si>
  <si>
    <t>63. Product-zingV1.0 Issue related to-Hex&gt;Repeat on loop Test on-Android Issue Type-Firmware</t>
  </si>
  <si>
    <t>0.1 Zing - Assemble Screen - Hardware Bug</t>
  </si>
  <si>
    <t>1.0 Zing - Hex page - if condition - Hardware Bug;</t>
  </si>
  <si>
    <t>1.0 Zing - Accelerometer &amp; Gyro meter Readings - Hardware bug;</t>
  </si>
  <si>
    <t>1.0 Zing - Program Uploading Issue - Hardware Bug;</t>
  </si>
  <si>
    <t>Hexapod - Joystick Screen - Feature;</t>
  </si>
  <si>
    <t>1.0 Hexapod - All Internal o/p &amp; External o/p Components Functions - Hardware Bug;</t>
  </si>
  <si>
    <t>1.0 Hexapod - Hex Screen - If Else Condition Uploading Issue - Hardware Bug;</t>
  </si>
  <si>
    <t>1.0.03 PeeCee - Hex &amp; Flowchart Screens - Buzzer Function - WEB &amp; EXE Bug;</t>
  </si>
  <si>
    <t>1.0 Zing - Play mode - Camera screen All Commands Function - Hardware Bug;</t>
  </si>
  <si>
    <t>0.1 &amp; 1.0 Zing - PA Reading Screens - Battery % - Hardware Bug;</t>
  </si>
  <si>
    <t>1.0 Zing - Hex Screen - Action group Function - Hardware Bug;</t>
  </si>
  <si>
    <t>1.0 PeeCee - Scratch - M1, M2, M3 &amp; M4 ports Rename - Hardware Bug;</t>
  </si>
  <si>
    <t xml:space="preserve">1.0 PeeCee - Play Mode - Accept n no of PLAY bytes  </t>
  </si>
  <si>
    <t>1.0 Zing - Scratch - M1, 2, 3 &amp; 4 ports Function - HARDWARE Bug;</t>
  </si>
  <si>
    <t>1.0 Zing - Scratch - 180 &amp; 360 Servo Motors B1-port Function - HARDWARE Bug;</t>
  </si>
  <si>
    <t>1.0 Zing - MicroPython - i/p &amp; o/p programs Uploading Function - HARDWARE Bug;</t>
  </si>
  <si>
    <t>1.0 Zing - MicroPython - RGB Function - HARDWARE Bug;</t>
  </si>
  <si>
    <t>1.0 Zing - Micro-Python - Serial Servo motors Functions - HARDWARE Bug;</t>
  </si>
  <si>
    <t>1.0 PeeCee - New Micropython Buzzer Function - HARDWARE Bug;</t>
  </si>
  <si>
    <t>1.0 Zing - All PA Bytes Reading Screens - Ultrasonic Function:</t>
  </si>
  <si>
    <t>1.0 Zing - Micro Python - Analog Components PA Bytes Range - HARDWARE Bug:</t>
  </si>
  <si>
    <t>1.0 Zing - Micro-python - Gyro Meter Function:</t>
  </si>
  <si>
    <t>1.0 Zing - Hex Screen - Action Group - Break Dance Function;</t>
  </si>
  <si>
    <t>1.0 Zing - Hex Screen - Mini &amp; Dc Motors Function - HARDWARE Bug:</t>
  </si>
  <si>
    <t>1.0 PeeCee - Scratch with C-Macros - Dc &amp; Mini Motors - M1, M2 Ports Enabling - HARDWARE Bug;</t>
  </si>
  <si>
    <t>1.0.04 PeeCee - All PA Bytes Reading Screens - TOuchpad 03 Function - HARDWARE Bug:</t>
  </si>
  <si>
    <t>1.0.04 PeeCee - Status LED - HARDWARE Bug:</t>
  </si>
  <si>
    <t>1.0.04 PeeCee - PA Bytes Reading - HARDWARE Bug:</t>
  </si>
  <si>
    <t xml:space="preserve">1.0.04 PeeCee -Hex &amp; Flowchart Screen - External o/p Components Uploading Function - HARDWARE Bug: </t>
  </si>
  <si>
    <t>1.0.04 PeeCee - Internal &amp; External components Input PA Bytes Reading Function -HARDWARE Bug:</t>
  </si>
  <si>
    <t>1.0 Zing - Create Action Screen - Save to Zing Functions - HARDWARE Bug:</t>
  </si>
  <si>
    <t>1.0 PeeCee - Micro-Python - Internal Eye RGB Functions - HARDWARE Bug:</t>
  </si>
  <si>
    <t>1.0 PeeCee - Micro-python - Touch Pad 0 Function - HARDWARE Bug:</t>
  </si>
  <si>
    <t>1.0.04  PeeCee - Status LED Function - HARDWARE Bug:</t>
  </si>
  <si>
    <t xml:space="preserve">1.0.04 PeeCee - Hex &amp; Flowchart Screen - Internal RGBs Function - HARDWARE Bug: </t>
  </si>
  <si>
    <t>1.0 Zing - Firmware[Features Testing] Entire Play Screen - Functions - Hardware Bug:</t>
  </si>
  <si>
    <t>High</t>
  </si>
  <si>
    <t>1.0 Zing - Firmware[Features Testing] - All PA Bytes Reading Screens &amp; Functions - HARDWARE Bug:</t>
  </si>
  <si>
    <t xml:space="preserve">1.0 Zing - Firmware [Features Testing] - Serial Servos and Programs uploading Functions - HARDWARE Bug: </t>
  </si>
  <si>
    <t>1.0.04 PeeCee - Data Graph - Internal &amp; External  i/p Readings Function - HARDWARE Bug:</t>
  </si>
  <si>
    <t>1.0.04 PeeCee - PA Bytes Function - HARDWARE Bug:</t>
  </si>
  <si>
    <t>1.0.04 PeeCee - Hex &amp; Flowchart Screen - F1 Port Function - HARDWARE Bug:</t>
  </si>
  <si>
    <t xml:space="preserve">1.0.04 PeeCee - Joystick Screen - RGB Eyes Function - HARDWARE Bug: </t>
  </si>
  <si>
    <t>0.1 PeeCee - Hex Screen - Internal RGB with Pause Button Function - HARDWARE Bug:</t>
  </si>
  <si>
    <t>1.0 Zing - Micro-Python - Serial Servo Motor program upload Function - HARDWARE Bug:</t>
  </si>
  <si>
    <t>1.0.04 PeeCee - Hex Screen - Internal o/p RGB with Pause Button Function - HARDWARE Bug:</t>
  </si>
  <si>
    <t>1.0.04 PeeCee - Assemble Screen - PA Reading Functions - HARDWARE Bug:</t>
  </si>
  <si>
    <t>1.0.04 a &amp; b Firmware Release Testing - Assemble Screen - Interna i/p color Sensor Readings &amp; Functioning Issue - HARDWARE Bug:</t>
  </si>
  <si>
    <t>1.0.04 a &amp; b Firmware Release Testing - Assemble Screen, Hex &amp; Flowchart screens - All internal &amp; External PA Readings Functioning Issue - HARDWARE Bug:</t>
  </si>
  <si>
    <t>1.0.04 Firmware Release Testing - Data Mode - Internal Sensors &amp; Ports Functioning Issue - HARDWARE Bug:</t>
  </si>
  <si>
    <t>1.0.04 Firmware Release Testing - Play panel - Music Screen - PeeCee tone mode Function - HARDWARE Bug:</t>
  </si>
  <si>
    <t>1.0 Zing - Micro Python -File Explore Build -Project Run or File Run - RGB colour Function - HARDWARE Bug:</t>
  </si>
  <si>
    <t>1.0.04 PeeCee - Joystick Screen - RGB Eyes Function - Hardware Bug:</t>
  </si>
  <si>
    <t>1.0.02 Zing - Firmware Testing - Joystick Screen - Dance Actions Function - HARDWARE Bug:</t>
  </si>
  <si>
    <t>1.0.02 Zing - Firmware Testing - Joystick Screen - Current Running Programs Stop Function - HARDWARE Bug:</t>
  </si>
  <si>
    <t>1.0.02 Zing - Firmware Testing - Hex Screen - o/p Action Group - Box Forward Function - WEB Bug:</t>
  </si>
  <si>
    <t>1.0 Zing - Micro-Python - Firmware &amp; WEB Build Testing - Accele &amp; Gyro meters Program Function - WEB Bug:</t>
  </si>
  <si>
    <t>Zing V1.0.02 - UX Function - All Reading Screen - All External  i/p Analog Sensor Readings - Maximum Range values Displayed - HARDWARE Bug:</t>
  </si>
  <si>
    <t>Zing V1.0.02 - UX Function - Hex &amp; Flowchart Screens - 1C &amp; 2C LEDs o/p Function - HARDWARE Bug:</t>
  </si>
  <si>
    <t>Zing V2.0.01 - UX Function - All PA Bytes Reading Screen - EYE Ultrasonic Sensor Function - HARDWARE Bug:</t>
  </si>
  <si>
    <t>Zing V1.0.02 &amp; 2.0.01 S3 - UX Function - Speech Panel - Dance-Stop Command  &amp; Dance, Stop Commands Function - HARDWARE Bug:</t>
  </si>
  <si>
    <t>PeeCee - V1.0.04 - Release Testing - UX Function - Hex &amp; Flowchart Screens - Internal o/p Buzzer Frequency Function - HARDWARE Bug:</t>
  </si>
  <si>
    <t>Zing V1.0.02 - UX Function - All PA Bytes Reading Screens - C-port Ultrasonic sensor PA Reading Function - HARDWARE Bug:</t>
  </si>
  <si>
    <t>Zing V2.0.01 S3 - UX Function - All PA Bytes Reading Screens - PA Bytes Reading Function - HARDWARE Bug:</t>
  </si>
  <si>
    <t>1.0.04 PeeCee - Hex Screen - Internal o/p RGB with Assemble Screen Read Value Button Function - HARDWARE Bug:</t>
  </si>
  <si>
    <t>Zing V 0.1, 1.0.02 &amp; 2.0.01 S3 - UX Function - All PA Bytes Reading Screens - Battery% Function -HARDWARE Bug:</t>
  </si>
  <si>
    <t>Zing V2.0.01 S3- UX Function - Hex &amp; Flowchart Screen - Internal 2 RGB Eyes Function - HARDWARE Bug:</t>
  </si>
  <si>
    <t>Zing V2.0.01 - UX Function - Hex &amp; Flowchart Screens - Head Motor Uploading Function - HARDWARE Bug:</t>
  </si>
  <si>
    <t>Hexapod V 1.0.01 32 &amp; 2.0.01 S3 - UX Function - Hex &amp; Flowchart Screen - All PA Bytes Reading Screens - Accelerometer &amp; Gyro-meter Reading &amp; UI Function -  HARDWARE Bug:</t>
  </si>
  <si>
    <t>Hexapod V2.0.01 S3 Board - UX Function - All PA Bytes Reading Screens - All External i/p Digital Components A2-port Reading Function A1 port - HARDWARE Bug:</t>
  </si>
  <si>
    <t>Hexapod V2.0.01 S3 board - UX Function - Create Action Motors Functions &amp; Zing Save Function - HARDWARE Bug:</t>
  </si>
  <si>
    <t>Roboki 0.2.01V - UX Function - Hex Screen - Program uploading Issue - HARDWARE Bug:</t>
  </si>
  <si>
    <t>Highest</t>
  </si>
  <si>
    <t>Roboki 0.2.01V - UX Function - Hex Screen - Internal o/p RGB Color Function - HARDWARE Bug:</t>
  </si>
  <si>
    <t>Roboki 0.2.01V - UX Function - Assemble Screen - B2 port Analog External Components Function - HARDWARE Bug:</t>
  </si>
  <si>
    <t>Roboki 0.2.01 V - UX Function - Assemble &amp; Hex Screen - Ultrasonic Reading Function - HARDWARE Bug:</t>
  </si>
  <si>
    <t>Roboki 0.2.01 V - UX Function - Hex Screen - DC &amp; Mini Motors M1 - port Function - HARDWARE Bug:</t>
  </si>
  <si>
    <t>Zing V2.0.01 S3 - UI &amp; UX Function - Joystick Screen - All Action Buttons UI &amp; UX Function - WEB &amp; HARDWARE Bug:</t>
  </si>
  <si>
    <t>Zing 2.0.01 S3 V - UX Function - All PA Bytes Reading Screens  - Accelerometer X &amp; Y Reading Function - HARDWARE Bug:</t>
  </si>
  <si>
    <t>Robiki 0.2.01 V - UX Function - Hex Screen - 360 Servo Motors Function - HARDWARE Bug:</t>
  </si>
  <si>
    <t>Zing 2.0.01 S3 V - UX Function - All PA Bytes Reading Screens - All PA Bytes Reading Function - WEB &amp; HARDWARE Bug:</t>
  </si>
  <si>
    <t>Hexapod V1.0 - 32, UX &amp; UI Function - Joystick Screen - Dance Button Function - HARDWARE Bug:</t>
  </si>
  <si>
    <t>Hexapod V-1.0.02 32 - UX Function - Assemble &amp; Hex Screen - Battery Maximum % Values Display Issue - HARDWAREBug:</t>
  </si>
  <si>
    <t>Hexapod V-1.0.02 - 32 Board - UX Function - Hex Screen - DC &amp; Mini Motors M1&amp; M2 - ports Function - HARDWARE Bug:</t>
  </si>
  <si>
    <t>Hexapod V-1.0.02 32 Board - UX Function - Hex Screen - All o/p Programs Functions Issue - HARDWARE Bug:</t>
  </si>
  <si>
    <t>Hexapod V-1.0.02 - 32 Board - UX Function - Hex Screen - M1 &amp; M2 Port Functions Issue - HARDWARE Bug:</t>
  </si>
  <si>
    <t>Hexapod V- 1.0.02 32 Board - UX Function - Hex Screen - 360 Servo Motor Function Issue - HARDWARE Bug:</t>
  </si>
  <si>
    <t>Zing 1.0.02 &amp; 2.0.01, Hexapod -1.0.02 - UX Function - Hex Screen - Internal o/p Action Group Issue - HARDWARE Bug:</t>
  </si>
  <si>
    <t>Zing V- 2.0.01 S3 Board - UX Function - Hex Screen - Action Group Box Forward Action Function Issue - HARDWARE Bug:</t>
  </si>
  <si>
    <t>Zing V - 1.0.02 32 Board - UX Function - All PA Reading Screens - All Digital i/p Components Reading Function - HARDWARE Bug</t>
  </si>
  <si>
    <t>Hexapod 1.0.02 - 32 Board - UX Function - All PA Reading Screens - All Digital i/p Components Reading Function - HARDWARE Bug</t>
  </si>
  <si>
    <t>Zing 1.0.02 32 Board - UX Function - Hex Screen - Internal o/p RGB Functioning Issue - HARDWARE Bug:</t>
  </si>
  <si>
    <t>Zing 2.0.01 S3 Board - UX Function - Hex Screen - Internal o/p Left 1st RGB Function Issue - HARDWARE Bug:</t>
  </si>
  <si>
    <t>Hexapod 2.0.01 S3 Board V - UX Function - Hex Screen - Internal i/p &amp; o/p If else Condition Issue - HARDWARE Bug:</t>
  </si>
  <si>
    <t>PeeCee - V - 1.0.05 - UX Function - Hex Screen - All Motors Combination if else Condition Programs Functioning Issue - HARDWARE Bug:</t>
  </si>
  <si>
    <t>Hexapod V - 2.0.01 - UX Function - All PA Bytes Reading Screens - B2 port All Analog External Components Reading Function - HARDWARE Bug:</t>
  </si>
  <si>
    <t>Hexapod 1.0.02 32 Board - UX Function - Hex Screen - Internal i/p Ultrasonic Sensor Reading Function Issue - HARDWARE Bug:</t>
  </si>
  <si>
    <t>Hexapod 1.0.02 32 Board - UX Function - Hex Screen - Internal o/p Left &amp; Right (6) RGBs Function Issue - HARDWARE Bug:</t>
  </si>
  <si>
    <t>Hexapod - 1.0.02 32 Board - UX Function - Hex Screen - Internal o/p RGB with External all o/p COmponents Function Issue - HARDWARE Bug:</t>
  </si>
  <si>
    <t>Hexapod V - 2.0.01 S3 Board - UX Function - All PA Bytes Reading Screen - All Internal, External i/p &amp; o/p PA Bytes Reading Function Issue - HARDWARE Bug:</t>
  </si>
  <si>
    <t>Zing V- 1.0.1.0 32 Board - UX Function - Hex Screen - Head Servo motor Function - HARDWARE Bug:</t>
  </si>
  <si>
    <t>PeeCee V - 1.0.0.6 -UX Function - Hex Screen - Internal i/p Light Sensor with Internal &amp; External any o/p's Function Issue - HARDWARE Bug:</t>
  </si>
  <si>
    <t>PeeCee - V - 1.0.06 - UX Function - Internal i/p Colour Sensor with Internal or External o/p's if-else Condition Function Issue - HARDWARE Bug:</t>
  </si>
  <si>
    <t xml:space="preserve">Roboki V - 1.0.1.0 - UX Function - Hex Screen - Double if-else Condition of Internal i/p with External all Motors Function Issue - HARDWARE Bug: </t>
  </si>
  <si>
    <t>Roboki V - 1.0.1.0 - UX Function - Hex Screen - Double if-else Condition of Internal i/p with External all Motors Function Issue - HARDWARE Bug:</t>
  </si>
  <si>
    <t>Hexapod V- 2.0.01 S3 Board - UX Function - All PA Bytes Screen - All PA Bytes Reading Functioning Issue - HARDWARE Bug:</t>
  </si>
  <si>
    <t>Roboki V -1.0.1.0 - UX Function - Hex Screen - Mini &amp; DC Motors Functions Issue - HARDWARE Bug:</t>
  </si>
  <si>
    <t>Zing 2.0.01 S3 Board - UX Function - Create Action 1 Action Block Play Button Functions Issue -HARDWARE Bug:</t>
  </si>
  <si>
    <t>Zing 2.0.01 S3 Board - UX Function - Create Action - Head Motor Functioning Issue - HARDWARE Bug:</t>
  </si>
  <si>
    <t>Hexapod - 2.0.01 S3 Board - UI Function - Create Action Screen - Saved File Display Issue - WEB Bug:</t>
  </si>
  <si>
    <t xml:space="preserve">Zing 2.0.01 S3 Board - UX Function - Create Action Screen - Saving any program Zing Restarting Issue - HARDWARE Bug: </t>
  </si>
  <si>
    <t>Zing &amp; Hexapod V - 1.0 &amp; 2.0 - UX Function - Hex Screen - A2 port o/p External Components Function Issue - HARDWARE Bug:</t>
  </si>
  <si>
    <t>Zing &amp; Hexapod V- 2.0 S3 Board - UX Function - Hex Screen - Double if condition Function Issue - HARDWARE Bug:</t>
  </si>
  <si>
    <t>Hexapod 2.0.1.0 - UX Function - All PA Bytes Reading Screens - B1 port Analog Components Reading Function - HARDWARE Bug:</t>
  </si>
  <si>
    <t>Hexapod 1.0 &amp; 2.0 - UX Function - Joystick Screen - Slide LEFT &amp; RIGHT Function Issue - HARDWARE Bug:</t>
  </si>
  <si>
    <t>Hexapod 1.0.1.0 - UX Function - Joystick Screen - One Action in-between Other Action Function Issue - HARDWARE Bug:</t>
  </si>
  <si>
    <t>Zing 2.1.2.0 Firmware - UX Function - iOS Mobile Firmware detecting Issue - HARDWARE Bug:</t>
  </si>
  <si>
    <t xml:space="preserve">Zing 2.0 &amp; 2.1 Firmwares - UX Function - Hex Screen - Group Action-Wake Front, Bow, &amp; Squat Actions Function Issue - HARDWARE Bug </t>
  </si>
  <si>
    <t>Zing 2.0.1.0 Firmware - UX Function - All PA Bytes Reading Screens - Internal i/p Ultrasonic Sensor Reading Issue - HARDWARE Bug:</t>
  </si>
  <si>
    <t>Zing, Hexapod - 1.0 &amp; 2.0 - UX Function - Hex Screen - Serial servo motor function Issue - HARDWARE Bug:</t>
  </si>
  <si>
    <t>create servo limiters - for each servo</t>
  </si>
  <si>
    <t>bibox hardware</t>
  </si>
  <si>
    <t>kLAW - play bytes / actions NOT working - sort / release them</t>
  </si>
  <si>
    <t xml:space="preserve">redesign - klaw servo wiring at assembly </t>
  </si>
  <si>
    <t>Pavvan Varma</t>
  </si>
  <si>
    <t xml:space="preserve">lewan soul vs dS servo motor - read angle comparison - demo to Sandeep sir </t>
  </si>
  <si>
    <t>zing - box - foam sheet cut - 60mm</t>
  </si>
  <si>
    <t>hexapod / crawler v2.0 - foam sheet cut - 60mm</t>
  </si>
  <si>
    <t>KLAW 1.0 - UX Function - All PA Bytes Reading Screens - All Analog Components Reading Function - HARDWARE Bug:</t>
  </si>
  <si>
    <t>KLAW 1.0.1.0 Firmware - UX Function - Hex Screen - if-else condition on B1 Port with A1 port o/p Function Issue - HARDWARE Bug:</t>
  </si>
  <si>
    <t xml:space="preserve">KLAW 1.0.1.0 Device - UX Function - All PA Bytes Reading Screens - 6 Pot sensors reading Issue - HARDWARE Bug:  </t>
  </si>
  <si>
    <t>KLAW 1.0.1.0 Firmware - UX Function - Hex Screen - Decision Panel Program uploading Issue - HARDWARE Bug:</t>
  </si>
  <si>
    <t>KLAW 1.0.1.0 Device - UX Function - Port's Power Issue - HARDWARE Bug:</t>
  </si>
  <si>
    <t>PeeCee 1.0 - UX Function - Hex Screen - 180 &amp; 270 Servo Motors Slider Function Issue - Firmware Bug:</t>
  </si>
  <si>
    <t>PeeCee 1.0 - UX Function - Hex Screen - 360 Servo Motors Slider Function Issue - FIRMWARE Bug:</t>
  </si>
  <si>
    <t>Zing &amp; Hexapod 1.0 &amp; 2.0 - UX Function - Hex Screen - 180, 270, &amp; 360 Servo Motors Live write Slider Function Issue - FIRMWARE Bug:</t>
  </si>
  <si>
    <t>Hexapod 1.0 &amp; 2.0 - UX Function - Joystick Screen - 2nd &amp; 3rd serial servo motor Function Issue - Firmware Bug:</t>
  </si>
  <si>
    <t>On HOLD</t>
  </si>
  <si>
    <t>PeeCee 1.0 - UX Function - Hex Screen - Live write with o/p LEDs Function Issue - HARDWARE Bug:</t>
  </si>
  <si>
    <t>PeeCee 1.0 - UX Function - Hex Screen - DC, N20 &amp; Dynamex  Motors Function Issue - FIRMWARE Bug:</t>
  </si>
  <si>
    <t>Hexapod 2.0 - UI &amp; UX Function - Create Action - Saved Program Delete Function Issue - FIRMWARE Bug:</t>
  </si>
  <si>
    <t>PeeCee 1.0 (AI-1) - UI &amp; UX Function - App-Mode Hardware Screen - Bluetooth function Issue - FIRMWARE Bugs:</t>
  </si>
  <si>
    <t>PeeCee 1.0 Ai-1 - UX Function - Hex Screen - OLED o/p Text Function Issue - FIRMWARE Bug:</t>
  </si>
  <si>
    <t xml:space="preserve">KLAW 1.0 - UX Function - Joystick Screen - Attention position Function issue - FIRMWARE Bug: </t>
  </si>
  <si>
    <t>All Device All Versions - UX Function - All PA Reading Screens - External Digital Components PA Reading Function Issue - FIRMWARE Bug:</t>
  </si>
  <si>
    <t>Roboki 1.0.2.0 - UX Function - All PA Bytes Reading Screens - Ultrasonic A-port PA Reading Function Issue - HARDWARE Bug:</t>
  </si>
  <si>
    <t>Zing 2.0 - UX Function - Joystick &amp; Speech Screen - Slide Left &amp; Right Kick &amp; Front Right &amp; Left Kick  Function Swiped Issue - Firmware Bug:</t>
  </si>
  <si>
    <t>Roboki 1.0 - UX Function - All PA Reading Screen - Internal &amp; External Components i/p's PA Reading Function Issue - FIRMWARE Bug:</t>
  </si>
  <si>
    <t xml:space="preserve">Hexapod 1.0 &amp; 2.0 - UX Function - Joystick Screen - 3 Actions Attention Position Function Issue - FIRMWARE Bug: </t>
  </si>
  <si>
    <t>Zing 1.0 &amp; 2.0 - UX Function - Joystick Screen - Push-up Action After Function Issue - FIRMWARE Bug:</t>
  </si>
  <si>
    <t>ATR_H2 - UX Function - Hex Screen - Internal o/p Motors with Plain Program Function Issue - HARDWARE Bug:</t>
  </si>
  <si>
    <t>ATR_H2 - UX Function - Hex Screen - Internal o/p Motor "Live write" Function Issue - FIRMWARE Bug:</t>
  </si>
  <si>
    <t>PeeCee 1.0 - UX Function - Assemble Screen - Ultrasonic External Component PA Bytes Reading Function Issue - Firmware Issue:</t>
  </si>
  <si>
    <t>Toki 1.0 - UX Function - Assemble Screen - Read Button Function Issue - FIRMWARE Bug:</t>
  </si>
  <si>
    <t>Klaw 1.0 - UX Function - Hex Screen - PWM 5th Servo Motor Function Issue - FIRMWARE Bug:</t>
  </si>
  <si>
    <t>KLAW-1.0 - UX Function - Hex screen - B-port If-else Condition function Issue - FIRMWARE Bug:</t>
  </si>
  <si>
    <t>ATR-H2 - UX Function - Bluetooth Connectivity Issue - HARDWARE Bug:</t>
  </si>
  <si>
    <t xml:space="preserve">Zing 2.1.4.0- Latest Firmware - UX Function - Create Action Save File Issue - HARDWARE Big: </t>
  </si>
  <si>
    <t>Zing 2.1.4.0 - Latest Firmware - UX Function - Joystick Screen - Zing Struck Issue - FIRMWARE Issue:</t>
  </si>
  <si>
    <t>Zing 2.1.4.0 - Latest Firmware - UX Function - All PA Reading Screens - Ultrasonic sensor PA Reading Function Issue - FIRMWARE Issue:</t>
  </si>
  <si>
    <t>Toki - UX Function - Assemble &amp; Hex Screen - DC/N20 Motors Function &amp; Live Write Function Issue - FIRMWARE Bugs:</t>
  </si>
  <si>
    <t>Zing 2.0 Latest Firmware (2.4) - UF Function - Operation Mode UI &amp; Function Bytes Issue - FIRMWRE Bug:</t>
  </si>
  <si>
    <t>All Devices Latest Firmware - UX Function - Hex Screen - Start panel Bi-Data Program Not Functioning - FIRMWARE Bug:</t>
  </si>
  <si>
    <t>Zing 2.0 Latest Firmware 2.04 - UX Function - Data Panel Issue - FIRMWARE Bugs:</t>
  </si>
  <si>
    <t>Zing 2.0 Latest Firmware (2.4) - UX Function - Hex Screen - Head ultrasonic RGB Function Issue - FIRMWARE Bug:</t>
  </si>
  <si>
    <t>TOKI 1.0 - UX Function - Assemble Screen - o/p's gets Struck Issue - FIRMWARE Bug:</t>
  </si>
  <si>
    <t>Klaw 1.0 - UX Function - Hex Screen - Serial Servo 5th motor Function Issue - FIRMWARE Bug:</t>
  </si>
  <si>
    <t>Klaw 1.0 - UX Function - Hex Screen - Ultrasonic sensor with any o/p (if-else) Program Function Issue - FIRMWARE Bug:</t>
  </si>
  <si>
    <t>Toki 1.0 - UX Function - Any Screen - Bluetooth Connectivity Issue - FIRMWARE Bug:</t>
  </si>
  <si>
    <t>Zing 2.0 Latest Firmware (2.0.4.0) - UX Function - Hex Screen - Head ultrasonic Right RGB Function Issue - FIRMWARE Bug:</t>
  </si>
  <si>
    <t>BUGS</t>
  </si>
  <si>
    <t xml:space="preserve">Toki 1.0 - UX Function - Hex Screen - Servo Motors Function Issues - FIRMWARE Bug: </t>
  </si>
  <si>
    <t>Nareshkumar</t>
  </si>
  <si>
    <t xml:space="preserve">PeeCee 1.0 Ai Latest Firmware - UX Function - Hex Screen - Program Upload Function Issue - FIRMWARE Bug: </t>
  </si>
  <si>
    <t>KLAW 1.0 - UX Function - All PA Reading Screen - PA Read Button Function Iaaue - FIRMWARE Bug:</t>
  </si>
  <si>
    <t>PeeCee 1.0 Ai-1 - UX Function - Hex Screen - Ai-1 Music with Stop Panel Function Issue - FIRMWARE Bug:</t>
  </si>
  <si>
    <t>PeeCee 1.0 Ai-1 - UX Function - Hex Screen - Ai-1 i/p with OLED Program Function Issue - FIRMWARE Bug:</t>
  </si>
  <si>
    <t>PeeCee  Ai-1 - UX Function - Hex Screen - Combination of Ai trained Program Function Issue - FIRMWARE Bug:</t>
  </si>
  <si>
    <t>Toki 1.0 - UX Function - All PA Reading Screen - Digital i/p PA Reading Function Issue - FIRMWARE Bug:</t>
  </si>
  <si>
    <t>Roboki 0.2 V- UX Function- Hex Screen - DIP Switch &amp; LED Toggle Function issue- HARDWARE Bug</t>
  </si>
  <si>
    <t>Surabhi S</t>
  </si>
  <si>
    <t xml:space="preserve">Roboki 0.2 V- UX Function- Hex Screen - Dual Switch &amp; Double LED 2C Toggle Function - HARDWARE Bug: </t>
  </si>
  <si>
    <t>Zing 2.0 - UX Function - Free Fall Detection &amp; Function Issue - FIRMWARE Bug:</t>
  </si>
  <si>
    <t>PeeCee 1.0 - UX Function - Hex Screen - Without Satisfying Condition the o/p Function Issue - FIRMWARE Bug:</t>
  </si>
  <si>
    <t>PeeCee 1.0 Ai- 1 - UX Function - Hex Screen - Ai-1 Music Display Issue - FIRMWARE Bug:</t>
  </si>
  <si>
    <t>PeeCee 1.0 Ai-1 - UX Function - Asemble &amp; Hex Screens - Ai-1 Lidar PA Reading Functionality Issue - FIRMWARE Bug:</t>
  </si>
  <si>
    <t xml:space="preserve">PeeCee Ai-1 - UX Function - Hex Screen - Colour Train with o/p Functioning Issue - FIRMWARE Bug: </t>
  </si>
  <si>
    <t>PeeCee 1.0 Ai-1 - UX Function - Hex Screen - Speech with Music if-else Condition program Function Issue - FIRMWARE Bug:</t>
  </si>
  <si>
    <t>Roboki 1.0.2.0 - UX Function - Hex Screen - Counter Condition program function issue - FIRMWARE Bug:</t>
  </si>
  <si>
    <t>PeeCee 1.0 Ai-1 - UX Function - Hex screen - Ai-1 Color Detection, Tracking &amp; Face Tracking PA Function Issue - FIRMWARE Bug:</t>
  </si>
  <si>
    <t>Zing 2.0 Ai-1 - UX Function - Hex Screen - Ai-1 PA Reading Function Issue - FIRMWARE Bug:</t>
  </si>
  <si>
    <t xml:space="preserve">All Device Ai-1 - UX Function - Hex Screen - Face Tracking Y PA Function Issue - FIRMWARE Bug: </t>
  </si>
  <si>
    <t>All Devices - UX Function - Assemble Screen - o/p's functions with PA Read value Button &amp; Hardware MD Button Functions Issue - FIRMWARE Bug:</t>
  </si>
  <si>
    <t>ATR-H2 - UX Function - Hex Screen - M3 Motor Live Write Function Issue - FIRMWARE Bug:</t>
  </si>
  <si>
    <t>ATR-H2 - UX Function - All PA Reading Screens - ATH Restarting Issue - FIRMWARE Bug:</t>
  </si>
  <si>
    <t>Crawle - 2.0 - UX Function - All PA Reading Screens - Ultrasonic Component Connection to  C-port PA Reading &amp; Restart Issue - FIRMWARE Bug:</t>
  </si>
  <si>
    <t>Zing 2.0 - UX Function - Play panel All Screens - Free Fall Action Performing Issue - FIRMWARE. Bug:</t>
  </si>
  <si>
    <t>MOKI 1.0 - UI &amp; UX Function - Hex Screen - 180, 270, &amp; 360 Servo motors function Issue - Firmware Bug:</t>
  </si>
  <si>
    <t>All Device - Ai-1 - UX Function - Face Train Screen - Trained Face Response Not Updating on Application Issue - FIRMWARE Bug:</t>
  </si>
  <si>
    <t xml:space="preserve">All Devices Ai-1 - UX Function - Hex Screen - 2 Mic Condition with 2 Audio Function Issue - FIRMWARE Bug: </t>
  </si>
  <si>
    <t>MOKI 1.0 - UX Function - Hex Screen(action panel) - Live Output Function Not Working for Ports M1 and M2 - Firmware Bug:</t>
  </si>
  <si>
    <t>Roboki, Zing, Crawl-e, Klaw, &amp; ATR - UX Function - All PA Reading Screens - AI-1 with All i/p's PA Readings Function Issue - FIRMWARE Bug:</t>
  </si>
  <si>
    <t>Zing, Crawl-e 2.0 - UX Function Issue - All PA Reading Screens - Internal &amp; External Ultrasonic Sensor PA Reading Function Issue - FIRMWARE Bug:</t>
  </si>
  <si>
    <t>ATR-H2 Ai-1 - UX Function - Hex Screen - Ai-1 Face Recognition PA Text Not Display Issue - FIRMWARE Bug:</t>
  </si>
  <si>
    <t>CLONE - Toki 1.0 - UX Function - Hex Screen - Servo Motors Function Issues - FIRMWARE Bug: 2</t>
  </si>
  <si>
    <t>TESTING / Review</t>
  </si>
  <si>
    <t>CLONE - MOKI 1.0 - UI &amp; UX Function - Hex Screen - 180, 270, &amp; 360 Servo motors function Issue - Firmware Bug: 2</t>
  </si>
  <si>
    <t xml:space="preserve">ATR_H2 - UX Function - All PA Reading Screens - ATR Restart Issue - FIRMWARE Bug: </t>
  </si>
  <si>
    <t>Zing 2.0 - UX Function - Micro-python - ACCELEROMETER and GYRO meter program Issue - FIRMWARE Bug:</t>
  </si>
  <si>
    <t xml:space="preserve">Zing &amp; Crawl-e 2.0 - UX Function - Micro-Python Environmental - Serial Servo Motors Functioning Issue - FIRMWARE Bug: </t>
  </si>
  <si>
    <t>Crawl-e 2.0 - UX Function - Micro-Python Environment - import library Name Zing Calling Issue - FIRMWARE Bug:</t>
  </si>
  <si>
    <t>ATR_H2 - UX Function - Firmware Updating Tool - ATR_H2 Firmware Not Present In the Site Issue - FIRMWARE Bug:</t>
  </si>
  <si>
    <t>KLAW 1.0 - UX Function - Scratch &amp; Hex Screen - Internal i/p Pot with Any O/P's Function Issue - FIRMWARE Bug:</t>
  </si>
  <si>
    <t>Moki - UX Function - Hex Screen - DC &amp; N20 motors Program Function Issue - FIRMWARE Bug:</t>
  </si>
  <si>
    <t xml:space="preserve">PeeCee 1.0  - UX Function - Micro-Python Screen - I/P Touch pad Read Values Printing Issue - FIRMWARE Bug: </t>
  </si>
  <si>
    <t>Klaw 1.0 - UX Function - Micro-Python Screen - Ultrasonic Sensor PA Reading Printing Issue - FIRMWARE Bug:</t>
  </si>
  <si>
    <t>PeeCee &amp; Klaw 1.0 - UX Function - Micro-Python Screen - OLED Text Printing Issue - FIRMWARE Bug:</t>
  </si>
  <si>
    <t>PeeCee 1.0 - UX Function - Micro-Python Environment - Proximity &amp; ADC Reading Example code Function Issue - FIRMWARE Bug:</t>
  </si>
  <si>
    <t>PeeCee 1.0 - UX Function - Micro-Python Environment - Gesture Sensor Values not printing - FIRMWARE Bug:</t>
  </si>
  <si>
    <t>Zing &amp; Hexapod 2.0 Latest Boards - UX Function - All PA Reading Screen - Accelerometer &amp; Gyrometer (QMI) PA Reading Issue - HARDWARE Bug:</t>
  </si>
  <si>
    <t>Zing &amp; Hexapod 2.0 Latest Board - UX Function - Micro-python Environmental - RGB-Ultrasonic Program Uploading Function &amp; PA Reading  Printing  Function Issue - FIRMWARE Bug:</t>
  </si>
  <si>
    <t xml:space="preserve">All Devices - UX Function - Teachable Machine Control Screen - Camera working reverse angle Issue - FIRMWARE Bug:  </t>
  </si>
  <si>
    <t>All Devices - UI &amp; UX Functions - Hex Screen - Ai-1 PA Read Disconnect Ai-1 Error Handling Issue Features -  FIRMWARE:</t>
  </si>
  <si>
    <t>All Devices Ai-1 - UX Function - Hex Screen - Colour Detection Green &amp; Blue if else condition Not Functioning Issue - FIRMWARE Bug:</t>
  </si>
  <si>
    <t xml:space="preserve">PeeCee 1.0 - UX Function - Hex Screen Face &amp; Color Tracking PA Reading Not Functioning &amp; Struck Issue - FIRMWARE Bug: </t>
  </si>
  <si>
    <t>PeeCee 1.0 Ai-1 - UX Function - Hex Screen - Ai-1 Face Tracking PA Reading Not Functioning Issue - FIRMWARE Bug:</t>
  </si>
  <si>
    <t>All Devices Ai-1 - UX Function - Hex Screen - Colour Tracking PA Reading Function Issue - FIRMWARE Bug:</t>
  </si>
  <si>
    <t>All Devices Ai-1 - UX Function - Hex Screen - Face Tracking Pa Reading Not Functioning Issue - FIRMWARM Bug:</t>
  </si>
  <si>
    <t>All Devices Ai-1 - UX Function - Hex Screen - Colour Tracking with Speech Combination Program Function Issue - FIRMWARE Bug:</t>
  </si>
  <si>
    <t>All Devices Ai-1 - UX Function - Hex Screen - Ai-1 Camera Function Issue - HARDWARE Bug:</t>
  </si>
  <si>
    <t>Zing 3.0 - UX Function - Joystick Screen - Side Left &amp; Right Kick Action Not Functioning Issue - FIRMWARE Bug:</t>
  </si>
  <si>
    <t xml:space="preserve">All Devices - UX Function - Upcoming Firmware Update Tool -  Variant, Extra Robki Firmware, &amp; Nightly Release Date Info Issue - FIRMWARE Bug: </t>
  </si>
  <si>
    <t>Toki - UX Function - Hex Screen - S2 Port Function Swap  Issue - FIRMWARE Bug:</t>
  </si>
  <si>
    <t>IR Sensor PA Reading Not Function Issue</t>
  </si>
  <si>
    <t>First dance song plays 3-4 seconds longer after completion.</t>
  </si>
  <si>
    <t>PeeCee 1.0 - UX Function - New &amp; Old Enverinmental - 2nd &amp; 3rd Touchpads functionality Swipes - FIRMWARE Bug:</t>
  </si>
  <si>
    <t>Klaw-b - UI/UX Function - Dance Actions, Manual Mode Text, 90° Position, and Delete Action Feature (Firmware Bugs)</t>
  </si>
  <si>
    <t>CLONE - Klaw-b - UI/UX Function - Manual Mode Text, and Label Feature (Firmware Bugs)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</si>
</sst>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79.63"/>
    <col customWidth="1" min="4" max="4" width="14.88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tr">
        <f>HYPERLINK("https://bihardware.atlassian.net/browse/EMBEDDED-15?atlOrigin=eyJpIjoiYzgwYTQ0ZjEyNzQzNGJhN2JmNjEyZTM0NmRhZWZhNjIiLCJwIjoic2hlZXRzLWppcmEifQ","EMBEDDED-15")</f>
        <v>EMBEDDED-15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17</v>
      </c>
      <c r="I2" s="3">
        <v>45233.126608796294</v>
      </c>
      <c r="J2" s="3">
        <v>45391.99153935185</v>
      </c>
      <c r="K2" s="4">
        <v>45255.0</v>
      </c>
      <c r="L2" s="1" t="s">
        <v>18</v>
      </c>
    </row>
    <row r="3">
      <c r="A3" s="1" t="s">
        <v>12</v>
      </c>
      <c r="B3" s="2" t="str">
        <f>HYPERLINK("https://bihardware.atlassian.net/browse/EMBEDDED-17?atlOrigin=eyJpIjoiYzgwYTQ0ZjEyNzQzNGJhN2JmNjEyZTM0NmRhZWZhNjIiLCJwIjoic2hlZXRzLWppcmEifQ","EMBEDDED-17")</f>
        <v>EMBEDDED-17</v>
      </c>
      <c r="C3" s="1" t="s">
        <v>19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17</v>
      </c>
      <c r="I3" s="3">
        <v>45234.08555555555</v>
      </c>
      <c r="J3" s="3">
        <v>45391.99165509259</v>
      </c>
      <c r="K3" s="4">
        <v>45255.0</v>
      </c>
      <c r="L3" s="1" t="s">
        <v>18</v>
      </c>
    </row>
    <row r="4">
      <c r="A4" s="1" t="s">
        <v>12</v>
      </c>
      <c r="B4" s="2" t="str">
        <f>HYPERLINK("https://bihardware.atlassian.net/browse/EMBEDDED-26?atlOrigin=eyJpIjoiYzgwYTQ0ZjEyNzQzNGJhN2JmNjEyZTM0NmRhZWZhNjIiLCJwIjoic2hlZXRzLWppcmEifQ","EMBEDDED-26")</f>
        <v>EMBEDDED-26</v>
      </c>
      <c r="C4" s="1" t="s">
        <v>20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17</v>
      </c>
      <c r="I4" s="3">
        <v>45236.987858796296</v>
      </c>
      <c r="J4" s="3">
        <v>45457.94850694444</v>
      </c>
      <c r="K4" s="4">
        <v>45240.0</v>
      </c>
      <c r="L4" s="1" t="s">
        <v>18</v>
      </c>
    </row>
    <row r="5">
      <c r="A5" s="1" t="s">
        <v>12</v>
      </c>
      <c r="B5" s="2" t="str">
        <f>HYPERLINK("https://bihardware.atlassian.net/browse/EMBEDDED-27?atlOrigin=eyJpIjoiYzgwYTQ0ZjEyNzQzNGJhN2JmNjEyZTM0NmRhZWZhNjIiLCJwIjoic2hlZXRzLWppcmEifQ","EMBEDDED-27")</f>
        <v>EMBEDDED-27</v>
      </c>
      <c r="C5" s="1" t="s">
        <v>21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17</v>
      </c>
      <c r="I5" s="3">
        <v>45237.00478009259</v>
      </c>
      <c r="J5" s="3">
        <v>45457.94850694444</v>
      </c>
      <c r="K5" s="4">
        <v>45240.0</v>
      </c>
      <c r="L5" s="1" t="s">
        <v>18</v>
      </c>
    </row>
    <row r="6">
      <c r="A6" s="1" t="s">
        <v>12</v>
      </c>
      <c r="B6" s="2" t="str">
        <f>HYPERLINK("https://bihardware.atlassian.net/browse/EMBEDDED-28?atlOrigin=eyJpIjoiYzgwYTQ0ZjEyNzQzNGJhN2JmNjEyZTM0NmRhZWZhNjIiLCJwIjoic2hlZXRzLWppcmEifQ","EMBEDDED-28")</f>
        <v>EMBEDDED-28</v>
      </c>
      <c r="C6" s="1" t="s">
        <v>22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17</v>
      </c>
      <c r="I6" s="3">
        <v>45237.90158564815</v>
      </c>
      <c r="J6" s="3">
        <v>45271.14466435185</v>
      </c>
      <c r="K6" s="4">
        <v>45264.0</v>
      </c>
      <c r="L6" s="1" t="s">
        <v>18</v>
      </c>
    </row>
    <row r="7">
      <c r="A7" s="1" t="s">
        <v>12</v>
      </c>
      <c r="B7" s="2" t="str">
        <f>HYPERLINK("https://bihardware.atlassian.net/browse/EMBEDDED-29?atlOrigin=eyJpIjoiYzgwYTQ0ZjEyNzQzNGJhN2JmNjEyZTM0NmRhZWZhNjIiLCJwIjoic2hlZXRzLWppcmEifQ","EMBEDDED-29")</f>
        <v>EMBEDDED-29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17</v>
      </c>
      <c r="I7" s="3">
        <v>45237.90268518519</v>
      </c>
      <c r="J7" s="3">
        <v>45274.10824074074</v>
      </c>
      <c r="K7" s="4">
        <v>45240.0</v>
      </c>
      <c r="L7" s="1" t="s">
        <v>18</v>
      </c>
    </row>
    <row r="8">
      <c r="A8" s="1" t="s">
        <v>12</v>
      </c>
      <c r="B8" s="2" t="str">
        <f>HYPERLINK("https://bihardware.atlassian.net/browse/EMBEDDED-30?atlOrigin=eyJpIjoiYzgwYTQ0ZjEyNzQzNGJhN2JmNjEyZTM0NmRhZWZhNjIiLCJwIjoic2hlZXRzLWppcmEifQ","EMBEDDED-30")</f>
        <v>EMBEDDED-30</v>
      </c>
      <c r="C8" s="1" t="s">
        <v>24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17</v>
      </c>
      <c r="I8" s="3">
        <v>45237.90418981481</v>
      </c>
      <c r="J8" s="3">
        <v>45299.95912037037</v>
      </c>
      <c r="K8" s="4">
        <v>45264.0</v>
      </c>
      <c r="L8" s="1" t="s">
        <v>18</v>
      </c>
    </row>
    <row r="9">
      <c r="A9" s="1" t="s">
        <v>12</v>
      </c>
      <c r="B9" s="2" t="str">
        <f>HYPERLINK("https://bihardware.atlassian.net/browse/EMBEDDED-31?atlOrigin=eyJpIjoiYzgwYTQ0ZjEyNzQzNGJhN2JmNjEyZTM0NmRhZWZhNjIiLCJwIjoic2hlZXRzLWppcmEifQ","EMBEDDED-31")</f>
        <v>EMBEDDED-31</v>
      </c>
      <c r="C9" s="1" t="s">
        <v>25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17</v>
      </c>
      <c r="I9" s="3">
        <v>45237.90483796296</v>
      </c>
      <c r="J9" s="3">
        <v>45391.991747685184</v>
      </c>
      <c r="K9" s="4">
        <v>45264.0</v>
      </c>
      <c r="L9" s="1" t="s">
        <v>18</v>
      </c>
    </row>
    <row r="10">
      <c r="A10" s="1" t="s">
        <v>12</v>
      </c>
      <c r="B10" s="2" t="str">
        <f>HYPERLINK("https://bihardware.atlassian.net/browse/EMBEDDED-32?atlOrigin=eyJpIjoiYzgwYTQ0ZjEyNzQzNGJhN2JmNjEyZTM0NmRhZWZhNjIiLCJwIjoic2hlZXRzLWppcmEifQ","EMBEDDED-32")</f>
        <v>EMBEDDED-32</v>
      </c>
      <c r="C10" s="1" t="s">
        <v>26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17</v>
      </c>
      <c r="I10" s="3">
        <v>45237.91443287037</v>
      </c>
      <c r="J10" s="3">
        <v>45299.957094907404</v>
      </c>
      <c r="K10" s="4">
        <v>45264.0</v>
      </c>
      <c r="L10" s="1" t="s">
        <v>18</v>
      </c>
    </row>
    <row r="11">
      <c r="A11" s="1" t="s">
        <v>12</v>
      </c>
      <c r="B11" s="2" t="str">
        <f>HYPERLINK("https://bihardware.atlassian.net/browse/EMBEDDED-33?atlOrigin=eyJpIjoiYzgwYTQ0ZjEyNzQzNGJhN2JmNjEyZTM0NmRhZWZhNjIiLCJwIjoic2hlZXRzLWppcmEifQ","EMBEDDED-33")</f>
        <v>EMBEDDED-33</v>
      </c>
      <c r="C11" s="1" t="s">
        <v>27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17</v>
      </c>
      <c r="I11" s="3">
        <v>45237.92453703703</v>
      </c>
      <c r="J11" s="3">
        <v>45391.99207175926</v>
      </c>
      <c r="K11" s="4">
        <v>45264.0</v>
      </c>
      <c r="L11" s="1" t="s">
        <v>18</v>
      </c>
    </row>
    <row r="12">
      <c r="A12" s="1" t="s">
        <v>12</v>
      </c>
      <c r="B12" s="2" t="str">
        <f>HYPERLINK("https://bihardware.atlassian.net/browse/EMBEDDED-34?atlOrigin=eyJpIjoiYzgwYTQ0ZjEyNzQzNGJhN2JmNjEyZTM0NmRhZWZhNjIiLCJwIjoic2hlZXRzLWppcmEifQ","EMBEDDED-34")</f>
        <v>EMBEDDED-34</v>
      </c>
      <c r="C12" s="1" t="s">
        <v>28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17</v>
      </c>
      <c r="I12" s="3">
        <v>45237.92868055555</v>
      </c>
      <c r="J12" s="3">
        <v>45299.95747685185</v>
      </c>
      <c r="K12" s="4">
        <v>45264.0</v>
      </c>
      <c r="L12" s="1" t="s">
        <v>18</v>
      </c>
    </row>
    <row r="13">
      <c r="A13" s="1" t="s">
        <v>12</v>
      </c>
      <c r="B13" s="2" t="str">
        <f>HYPERLINK("https://bihardware.atlassian.net/browse/EMBEDDED-35?atlOrigin=eyJpIjoiYzgwYTQ0ZjEyNzQzNGJhN2JmNjEyZTM0NmRhZWZhNjIiLCJwIjoic2hlZXRzLWppcmEifQ","EMBEDDED-35")</f>
        <v>EMBEDDED-35</v>
      </c>
      <c r="C13" s="1" t="s">
        <v>29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17</v>
      </c>
      <c r="I13" s="3">
        <v>45237.929618055554</v>
      </c>
      <c r="J13" s="3">
        <v>45391.992164351854</v>
      </c>
      <c r="K13" s="4">
        <v>45264.0</v>
      </c>
      <c r="L13" s="1" t="s">
        <v>18</v>
      </c>
    </row>
    <row r="14">
      <c r="A14" s="1" t="s">
        <v>12</v>
      </c>
      <c r="B14" s="2" t="str">
        <f>HYPERLINK("https://bihardware.atlassian.net/browse/EMBEDDED-36?atlOrigin=eyJpIjoiYzgwYTQ0ZjEyNzQzNGJhN2JmNjEyZTM0NmRhZWZhNjIiLCJwIjoic2hlZXRzLWppcmEifQ","EMBEDDED-36")</f>
        <v>EMBEDDED-36</v>
      </c>
      <c r="C14" s="1" t="s">
        <v>30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17</v>
      </c>
      <c r="I14" s="3">
        <v>45237.93033564815</v>
      </c>
      <c r="J14" s="3">
        <v>45238.92423611111</v>
      </c>
      <c r="K14" s="4">
        <v>45240.0</v>
      </c>
      <c r="L14" s="1" t="s">
        <v>18</v>
      </c>
    </row>
    <row r="15">
      <c r="A15" s="1" t="s">
        <v>12</v>
      </c>
      <c r="B15" s="2" t="str">
        <f>HYPERLINK("https://bihardware.atlassian.net/browse/EMBEDDED-37?atlOrigin=eyJpIjoiYzgwYTQ0ZjEyNzQzNGJhN2JmNjEyZTM0NmRhZWZhNjIiLCJwIjoic2hlZXRzLWppcmEifQ","EMBEDDED-37")</f>
        <v>EMBEDDED-37</v>
      </c>
      <c r="C15" s="1" t="s">
        <v>31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17</v>
      </c>
      <c r="I15" s="3">
        <v>45237.93127314815</v>
      </c>
      <c r="J15" s="3">
        <v>45299.96</v>
      </c>
      <c r="K15" s="4">
        <v>45264.0</v>
      </c>
      <c r="L15" s="1" t="s">
        <v>18</v>
      </c>
    </row>
    <row r="16">
      <c r="A16" s="1" t="s">
        <v>12</v>
      </c>
      <c r="B16" s="2" t="str">
        <f>HYPERLINK("https://bihardware.atlassian.net/browse/EMBEDDED-38?atlOrigin=eyJpIjoiYzgwYTQ0ZjEyNzQzNGJhN2JmNjEyZTM0NmRhZWZhNjIiLCJwIjoic2hlZXRzLWppcmEifQ","EMBEDDED-38")</f>
        <v>EMBEDDED-38</v>
      </c>
      <c r="C16" s="1" t="s">
        <v>32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17</v>
      </c>
      <c r="I16" s="3">
        <v>45237.93287037037</v>
      </c>
      <c r="J16" s="3">
        <v>45301.11424768518</v>
      </c>
      <c r="K16" s="4">
        <v>45240.0</v>
      </c>
      <c r="L16" s="1" t="s">
        <v>18</v>
      </c>
    </row>
    <row r="17">
      <c r="A17" s="1" t="s">
        <v>12</v>
      </c>
      <c r="B17" s="2" t="str">
        <f>HYPERLINK("https://bihardware.atlassian.net/browse/EMBEDDED-41?atlOrigin=eyJpIjoiYzgwYTQ0ZjEyNzQzNGJhN2JmNjEyZTM0NmRhZWZhNjIiLCJwIjoic2hlZXRzLWppcmEifQ","EMBEDDED-41")</f>
        <v>EMBEDDED-41</v>
      </c>
      <c r="C17" s="1" t="s">
        <v>33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17</v>
      </c>
      <c r="I17" s="3">
        <v>45237.93628472222</v>
      </c>
      <c r="J17" s="3">
        <v>45271.14466435185</v>
      </c>
      <c r="K17" s="4">
        <v>45264.0</v>
      </c>
      <c r="L17" s="1" t="s">
        <v>18</v>
      </c>
    </row>
    <row r="18">
      <c r="A18" s="1" t="s">
        <v>12</v>
      </c>
      <c r="B18" s="2" t="str">
        <f>HYPERLINK("https://bihardware.atlassian.net/browse/EMBEDDED-43?atlOrigin=eyJpIjoiYzgwYTQ0ZjEyNzQzNGJhN2JmNjEyZTM0NmRhZWZhNjIiLCJwIjoic2hlZXRzLWppcmEifQ","EMBEDDED-43")</f>
        <v>EMBEDDED-43</v>
      </c>
      <c r="C18" s="1" t="s">
        <v>34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17</v>
      </c>
      <c r="I18" s="3">
        <v>45237.938425925924</v>
      </c>
      <c r="J18" s="3">
        <v>45301.115648148145</v>
      </c>
      <c r="K18" s="4">
        <v>45240.0</v>
      </c>
      <c r="L18" s="1" t="s">
        <v>18</v>
      </c>
    </row>
    <row r="19">
      <c r="A19" s="1" t="s">
        <v>12</v>
      </c>
      <c r="B19" s="2" t="str">
        <f>HYPERLINK("https://bihardware.atlassian.net/browse/EMBEDDED-44?atlOrigin=eyJpIjoiYzgwYTQ0ZjEyNzQzNGJhN2JmNjEyZTM0NmRhZWZhNjIiLCJwIjoic2hlZXRzLWppcmEifQ","EMBEDDED-44")</f>
        <v>EMBEDDED-44</v>
      </c>
      <c r="C19" s="1" t="s">
        <v>35</v>
      </c>
      <c r="D19" s="1" t="s">
        <v>14</v>
      </c>
      <c r="E19" s="1" t="s">
        <v>15</v>
      </c>
      <c r="F19" s="1" t="s">
        <v>16</v>
      </c>
      <c r="G19" s="1" t="s">
        <v>17</v>
      </c>
      <c r="H19" s="1" t="s">
        <v>17</v>
      </c>
      <c r="I19" s="3">
        <v>45237.939259259256</v>
      </c>
      <c r="J19" s="3">
        <v>45301.11820601852</v>
      </c>
      <c r="K19" s="4">
        <v>45240.0</v>
      </c>
      <c r="L19" s="1" t="s">
        <v>18</v>
      </c>
    </row>
    <row r="20">
      <c r="A20" s="1" t="s">
        <v>12</v>
      </c>
      <c r="B20" s="2" t="str">
        <f>HYPERLINK("https://bihardware.atlassian.net/browse/EMBEDDED-45?atlOrigin=eyJpIjoiYzgwYTQ0ZjEyNzQzNGJhN2JmNjEyZTM0NmRhZWZhNjIiLCJwIjoic2hlZXRzLWppcmEifQ","EMBEDDED-45")</f>
        <v>EMBEDDED-45</v>
      </c>
      <c r="C20" s="1" t="s">
        <v>36</v>
      </c>
      <c r="D20" s="1" t="s">
        <v>14</v>
      </c>
      <c r="E20" s="1" t="s">
        <v>15</v>
      </c>
      <c r="F20" s="1" t="s">
        <v>16</v>
      </c>
      <c r="G20" s="1" t="s">
        <v>17</v>
      </c>
      <c r="H20" s="1" t="s">
        <v>17</v>
      </c>
      <c r="I20" s="3">
        <v>45237.940405092595</v>
      </c>
      <c r="J20" s="3">
        <v>45302.1709375</v>
      </c>
      <c r="K20" s="4">
        <v>45264.0</v>
      </c>
      <c r="L20" s="1" t="s">
        <v>18</v>
      </c>
    </row>
    <row r="21">
      <c r="A21" s="1" t="s">
        <v>12</v>
      </c>
      <c r="B21" s="2" t="str">
        <f>HYPERLINK("https://bihardware.atlassian.net/browse/EMBEDDED-46?atlOrigin=eyJpIjoiYzgwYTQ0ZjEyNzQzNGJhN2JmNjEyZTM0NmRhZWZhNjIiLCJwIjoic2hlZXRzLWppcmEifQ","EMBEDDED-46")</f>
        <v>EMBEDDED-46</v>
      </c>
      <c r="C21" s="1" t="s">
        <v>37</v>
      </c>
      <c r="D21" s="1" t="s">
        <v>14</v>
      </c>
      <c r="E21" s="1" t="s">
        <v>15</v>
      </c>
      <c r="F21" s="1" t="s">
        <v>16</v>
      </c>
      <c r="G21" s="1" t="s">
        <v>17</v>
      </c>
      <c r="H21" s="1" t="s">
        <v>17</v>
      </c>
      <c r="I21" s="3">
        <v>45237.94136574074</v>
      </c>
      <c r="J21" s="3">
        <v>45271.14466435185</v>
      </c>
      <c r="K21" s="4">
        <v>45264.0</v>
      </c>
      <c r="L21" s="1" t="s">
        <v>18</v>
      </c>
    </row>
    <row r="22">
      <c r="A22" s="1" t="s">
        <v>12</v>
      </c>
      <c r="B22" s="2" t="str">
        <f>HYPERLINK("https://bihardware.atlassian.net/browse/EMBEDDED-47?atlOrigin=eyJpIjoiYzgwYTQ0ZjEyNzQzNGJhN2JmNjEyZTM0NmRhZWZhNjIiLCJwIjoic2hlZXRzLWppcmEifQ","EMBEDDED-47")</f>
        <v>EMBEDDED-47</v>
      </c>
      <c r="C22" s="1" t="s">
        <v>38</v>
      </c>
      <c r="D22" s="1" t="s">
        <v>14</v>
      </c>
      <c r="E22" s="1" t="s">
        <v>15</v>
      </c>
      <c r="F22" s="1" t="s">
        <v>16</v>
      </c>
      <c r="G22" s="1" t="s">
        <v>17</v>
      </c>
      <c r="H22" s="1" t="s">
        <v>17</v>
      </c>
      <c r="I22" s="3">
        <v>45237.94216435185</v>
      </c>
      <c r="J22" s="3">
        <v>45271.14466435185</v>
      </c>
      <c r="K22" s="4">
        <v>45264.0</v>
      </c>
      <c r="L22" s="1" t="s">
        <v>18</v>
      </c>
    </row>
    <row r="23">
      <c r="A23" s="1" t="s">
        <v>12</v>
      </c>
      <c r="B23" s="2" t="str">
        <f>HYPERLINK("https://bihardware.atlassian.net/browse/EMBEDDED-48?atlOrigin=eyJpIjoiYzgwYTQ0ZjEyNzQzNGJhN2JmNjEyZTM0NmRhZWZhNjIiLCJwIjoic2hlZXRzLWppcmEifQ","EMBEDDED-48")</f>
        <v>EMBEDDED-48</v>
      </c>
      <c r="C23" s="1" t="s">
        <v>39</v>
      </c>
      <c r="D23" s="1" t="s">
        <v>14</v>
      </c>
      <c r="E23" s="1" t="s">
        <v>15</v>
      </c>
      <c r="F23" s="1" t="s">
        <v>16</v>
      </c>
      <c r="G23" s="1" t="s">
        <v>17</v>
      </c>
      <c r="H23" s="1" t="s">
        <v>17</v>
      </c>
      <c r="I23" s="3">
        <v>45237.943564814814</v>
      </c>
      <c r="J23" s="3">
        <v>45299.95596064815</v>
      </c>
      <c r="K23" s="4">
        <v>45264.0</v>
      </c>
      <c r="L23" s="1" t="s">
        <v>18</v>
      </c>
    </row>
    <row r="24">
      <c r="A24" s="1" t="s">
        <v>12</v>
      </c>
      <c r="B24" s="2" t="str">
        <f>HYPERLINK("https://bihardware.atlassian.net/browse/EMBEDDED-49?atlOrigin=eyJpIjoiYzgwYTQ0ZjEyNzQzNGJhN2JmNjEyZTM0NmRhZWZhNjIiLCJwIjoic2hlZXRzLWppcmEifQ","EMBEDDED-49")</f>
        <v>EMBEDDED-49</v>
      </c>
      <c r="C24" s="1" t="s">
        <v>40</v>
      </c>
      <c r="D24" s="1" t="s">
        <v>14</v>
      </c>
      <c r="E24" s="1" t="s">
        <v>15</v>
      </c>
      <c r="F24" s="1" t="s">
        <v>16</v>
      </c>
      <c r="G24" s="1" t="s">
        <v>17</v>
      </c>
      <c r="H24" s="1" t="s">
        <v>17</v>
      </c>
      <c r="I24" s="3">
        <v>45237.94503472222</v>
      </c>
      <c r="J24" s="3">
        <v>45271.14466435185</v>
      </c>
      <c r="K24" s="4">
        <v>45264.0</v>
      </c>
      <c r="L24" s="1" t="s">
        <v>18</v>
      </c>
    </row>
    <row r="25">
      <c r="A25" s="1" t="s">
        <v>12</v>
      </c>
      <c r="B25" s="2" t="str">
        <f>HYPERLINK("https://bihardware.atlassian.net/browse/EMBEDDED-50?atlOrigin=eyJpIjoiYzgwYTQ0ZjEyNzQzNGJhN2JmNjEyZTM0NmRhZWZhNjIiLCJwIjoic2hlZXRzLWppcmEifQ","EMBEDDED-50")</f>
        <v>EMBEDDED-50</v>
      </c>
      <c r="C25" s="1" t="s">
        <v>41</v>
      </c>
      <c r="D25" s="1" t="s">
        <v>14</v>
      </c>
      <c r="E25" s="1" t="s">
        <v>15</v>
      </c>
      <c r="F25" s="1" t="s">
        <v>16</v>
      </c>
      <c r="G25" s="1" t="s">
        <v>17</v>
      </c>
      <c r="H25" s="1" t="s">
        <v>17</v>
      </c>
      <c r="I25" s="3">
        <v>45237.96025462963</v>
      </c>
      <c r="J25" s="3">
        <v>45278.098032407404</v>
      </c>
      <c r="K25" s="4">
        <v>45264.0</v>
      </c>
      <c r="L25" s="1" t="s">
        <v>18</v>
      </c>
    </row>
    <row r="26">
      <c r="A26" s="1" t="s">
        <v>12</v>
      </c>
      <c r="B26" s="2" t="str">
        <f>HYPERLINK("https://bihardware.atlassian.net/browse/EMBEDDED-51?atlOrigin=eyJpIjoiYzgwYTQ0ZjEyNzQzNGJhN2JmNjEyZTM0NmRhZWZhNjIiLCJwIjoic2hlZXRzLWppcmEifQ","EMBEDDED-51")</f>
        <v>EMBEDDED-51</v>
      </c>
      <c r="C26" s="1" t="s">
        <v>42</v>
      </c>
      <c r="D26" s="1" t="s">
        <v>14</v>
      </c>
      <c r="E26" s="1" t="s">
        <v>15</v>
      </c>
      <c r="F26" s="1" t="s">
        <v>16</v>
      </c>
      <c r="G26" s="1" t="s">
        <v>17</v>
      </c>
      <c r="H26" s="1" t="s">
        <v>17</v>
      </c>
      <c r="I26" s="3">
        <v>45237.96219907407</v>
      </c>
      <c r="J26" s="3">
        <v>45271.14466435185</v>
      </c>
      <c r="K26" s="4">
        <v>45264.0</v>
      </c>
      <c r="L26" s="1" t="s">
        <v>18</v>
      </c>
    </row>
    <row r="27">
      <c r="A27" s="1" t="s">
        <v>12</v>
      </c>
      <c r="B27" s="2" t="str">
        <f>HYPERLINK("https://bihardware.atlassian.net/browse/EMBEDDED-52?atlOrigin=eyJpIjoiYzgwYTQ0ZjEyNzQzNGJhN2JmNjEyZTM0NmRhZWZhNjIiLCJwIjoic2hlZXRzLWppcmEifQ","EMBEDDED-52")</f>
        <v>EMBEDDED-52</v>
      </c>
      <c r="C27" s="1" t="s">
        <v>43</v>
      </c>
      <c r="D27" s="1" t="s">
        <v>14</v>
      </c>
      <c r="E27" s="1" t="s">
        <v>15</v>
      </c>
      <c r="F27" s="1" t="s">
        <v>16</v>
      </c>
      <c r="G27" s="1" t="s">
        <v>17</v>
      </c>
      <c r="H27" s="1" t="s">
        <v>17</v>
      </c>
      <c r="I27" s="3">
        <v>45237.96559027778</v>
      </c>
      <c r="J27" s="3">
        <v>45490.27488425926</v>
      </c>
      <c r="K27" s="4">
        <v>45240.0</v>
      </c>
      <c r="L27" s="1" t="s">
        <v>18</v>
      </c>
    </row>
    <row r="28">
      <c r="A28" s="1" t="s">
        <v>12</v>
      </c>
      <c r="B28" s="2" t="str">
        <f>HYPERLINK("https://bihardware.atlassian.net/browse/EMBEDDED-53?atlOrigin=eyJpIjoiYzgwYTQ0ZjEyNzQzNGJhN2JmNjEyZTM0NmRhZWZhNjIiLCJwIjoic2hlZXRzLWppcmEifQ","EMBEDDED-53")</f>
        <v>EMBEDDED-53</v>
      </c>
      <c r="C28" s="1" t="s">
        <v>44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17</v>
      </c>
      <c r="I28" s="3">
        <v>45237.986921296295</v>
      </c>
      <c r="J28" s="3">
        <v>45457.94866898148</v>
      </c>
      <c r="K28" s="4">
        <v>45240.0</v>
      </c>
      <c r="L28" s="1" t="s">
        <v>18</v>
      </c>
    </row>
    <row r="29">
      <c r="A29" s="1" t="s">
        <v>12</v>
      </c>
      <c r="B29" s="2" t="str">
        <f>HYPERLINK("https://bihardware.atlassian.net/browse/EMBEDDED-54?atlOrigin=eyJpIjoiYzgwYTQ0ZjEyNzQzNGJhN2JmNjEyZTM0NmRhZWZhNjIiLCJwIjoic2hlZXRzLWppcmEifQ","EMBEDDED-54")</f>
        <v>EMBEDDED-54</v>
      </c>
      <c r="C29" s="1" t="s">
        <v>45</v>
      </c>
      <c r="D29" s="1" t="s">
        <v>14</v>
      </c>
      <c r="E29" s="1" t="s">
        <v>15</v>
      </c>
      <c r="F29" s="1" t="s">
        <v>16</v>
      </c>
      <c r="G29" s="1" t="s">
        <v>17</v>
      </c>
      <c r="H29" s="1" t="s">
        <v>17</v>
      </c>
      <c r="I29" s="3">
        <v>45237.98971064815</v>
      </c>
      <c r="J29" s="3">
        <v>45457.94868055556</v>
      </c>
      <c r="K29" s="4">
        <v>45240.0</v>
      </c>
      <c r="L29" s="1" t="s">
        <v>18</v>
      </c>
    </row>
    <row r="30">
      <c r="A30" s="1" t="s">
        <v>12</v>
      </c>
      <c r="B30" s="2" t="str">
        <f>HYPERLINK("https://bihardware.atlassian.net/browse/EMBEDDED-55?atlOrigin=eyJpIjoiYzgwYTQ0ZjEyNzQzNGJhN2JmNjEyZTM0NmRhZWZhNjIiLCJwIjoic2hlZXRzLWppcmEifQ","EMBEDDED-55")</f>
        <v>EMBEDDED-55</v>
      </c>
      <c r="C30" s="1" t="s">
        <v>46</v>
      </c>
      <c r="D30" s="1" t="s">
        <v>14</v>
      </c>
      <c r="E30" s="1" t="s">
        <v>15</v>
      </c>
      <c r="F30" s="1" t="s">
        <v>16</v>
      </c>
      <c r="G30" s="1" t="s">
        <v>17</v>
      </c>
      <c r="H30" s="1" t="s">
        <v>17</v>
      </c>
      <c r="I30" s="3">
        <v>45238.0177662037</v>
      </c>
      <c r="J30" s="3">
        <v>45457.94866898148</v>
      </c>
      <c r="K30" s="4">
        <v>45240.0</v>
      </c>
      <c r="L30" s="1" t="s">
        <v>18</v>
      </c>
    </row>
    <row r="31">
      <c r="A31" s="1" t="s">
        <v>12</v>
      </c>
      <c r="B31" s="2" t="str">
        <f>HYPERLINK("https://bihardware.atlassian.net/browse/EMBEDDED-56?atlOrigin=eyJpIjoiYzgwYTQ0ZjEyNzQzNGJhN2JmNjEyZTM0NmRhZWZhNjIiLCJwIjoic2hlZXRzLWppcmEifQ","EMBEDDED-56")</f>
        <v>EMBEDDED-56</v>
      </c>
      <c r="C31" s="1" t="s">
        <v>47</v>
      </c>
      <c r="D31" s="1" t="s">
        <v>14</v>
      </c>
      <c r="E31" s="1" t="s">
        <v>15</v>
      </c>
      <c r="F31" s="1" t="s">
        <v>16</v>
      </c>
      <c r="G31" s="1" t="s">
        <v>17</v>
      </c>
      <c r="H31" s="1" t="s">
        <v>17</v>
      </c>
      <c r="I31" s="3">
        <v>45238.01849537037</v>
      </c>
      <c r="J31" s="3">
        <v>45457.94866898148</v>
      </c>
      <c r="K31" s="4">
        <v>45240.0</v>
      </c>
      <c r="L31" s="1" t="s">
        <v>18</v>
      </c>
    </row>
    <row r="32">
      <c r="A32" s="1" t="s">
        <v>12</v>
      </c>
      <c r="B32" s="2" t="str">
        <f>HYPERLINK("https://bihardware.atlassian.net/browse/EMBEDDED-58?atlOrigin=eyJpIjoiYzgwYTQ0ZjEyNzQzNGJhN2JmNjEyZTM0NmRhZWZhNjIiLCJwIjoic2hlZXRzLWppcmEifQ","EMBEDDED-58")</f>
        <v>EMBEDDED-58</v>
      </c>
      <c r="C32" s="1" t="s">
        <v>48</v>
      </c>
      <c r="D32" s="1" t="s">
        <v>14</v>
      </c>
      <c r="E32" s="1" t="s">
        <v>15</v>
      </c>
      <c r="F32" s="1" t="s">
        <v>16</v>
      </c>
      <c r="G32" s="1" t="s">
        <v>17</v>
      </c>
      <c r="H32" s="1" t="s">
        <v>17</v>
      </c>
      <c r="I32" s="3">
        <v>45238.02033564815</v>
      </c>
      <c r="J32" s="3">
        <v>45457.94865740741</v>
      </c>
      <c r="K32" s="4">
        <v>45240.0</v>
      </c>
      <c r="L32" s="1" t="s">
        <v>18</v>
      </c>
    </row>
    <row r="33">
      <c r="A33" s="1" t="s">
        <v>12</v>
      </c>
      <c r="B33" s="2" t="str">
        <f>HYPERLINK("https://bihardware.atlassian.net/browse/EMBEDDED-59?atlOrigin=eyJpIjoiYzgwYTQ0ZjEyNzQzNGJhN2JmNjEyZTM0NmRhZWZhNjIiLCJwIjoic2hlZXRzLWppcmEifQ","EMBEDDED-59")</f>
        <v>EMBEDDED-59</v>
      </c>
      <c r="C33" s="1" t="s">
        <v>49</v>
      </c>
      <c r="D33" s="1" t="s">
        <v>14</v>
      </c>
      <c r="E33" s="1" t="s">
        <v>15</v>
      </c>
      <c r="F33" s="1" t="s">
        <v>16</v>
      </c>
      <c r="G33" s="1" t="s">
        <v>17</v>
      </c>
      <c r="H33" s="1" t="s">
        <v>17</v>
      </c>
      <c r="I33" s="3">
        <v>45238.02127314815</v>
      </c>
      <c r="J33" s="3">
        <v>45457.948645833334</v>
      </c>
      <c r="K33" s="4">
        <v>45240.0</v>
      </c>
      <c r="L33" s="1" t="s">
        <v>18</v>
      </c>
    </row>
    <row r="34">
      <c r="A34" s="1" t="s">
        <v>12</v>
      </c>
      <c r="B34" s="2" t="str">
        <f>HYPERLINK("https://bihardware.atlassian.net/browse/EMBEDDED-60?atlOrigin=eyJpIjoiYzgwYTQ0ZjEyNzQzNGJhN2JmNjEyZTM0NmRhZWZhNjIiLCJwIjoic2hlZXRzLWppcmEifQ","EMBEDDED-60")</f>
        <v>EMBEDDED-60</v>
      </c>
      <c r="C34" s="1" t="s">
        <v>50</v>
      </c>
      <c r="D34" s="1" t="s">
        <v>14</v>
      </c>
      <c r="E34" s="1" t="s">
        <v>15</v>
      </c>
      <c r="F34" s="1" t="s">
        <v>16</v>
      </c>
      <c r="G34" s="1" t="s">
        <v>17</v>
      </c>
      <c r="H34" s="1" t="s">
        <v>17</v>
      </c>
      <c r="I34" s="3">
        <v>45238.022997685184</v>
      </c>
      <c r="J34" s="3">
        <v>45457.94836805556</v>
      </c>
      <c r="K34" s="4">
        <v>45241.0</v>
      </c>
      <c r="L34" s="1" t="s">
        <v>18</v>
      </c>
    </row>
    <row r="35">
      <c r="A35" s="1" t="s">
        <v>12</v>
      </c>
      <c r="B35" s="2" t="str">
        <f>HYPERLINK("https://bihardware.atlassian.net/browse/EMBEDDED-61?atlOrigin=eyJpIjoiYzgwYTQ0ZjEyNzQzNGJhN2JmNjEyZTM0NmRhZWZhNjIiLCJwIjoic2hlZXRzLWppcmEifQ","EMBEDDED-61")</f>
        <v>EMBEDDED-61</v>
      </c>
      <c r="C35" s="1" t="s">
        <v>51</v>
      </c>
      <c r="D35" s="1" t="s">
        <v>14</v>
      </c>
      <c r="E35" s="1" t="s">
        <v>15</v>
      </c>
      <c r="F35" s="1" t="s">
        <v>16</v>
      </c>
      <c r="G35" s="1" t="s">
        <v>17</v>
      </c>
      <c r="H35" s="1" t="s">
        <v>17</v>
      </c>
      <c r="I35" s="3">
        <v>45238.023935185185</v>
      </c>
      <c r="J35" s="3">
        <v>45457.948379629626</v>
      </c>
      <c r="K35" s="4">
        <v>45240.0</v>
      </c>
      <c r="L35" s="1" t="s">
        <v>18</v>
      </c>
    </row>
    <row r="36">
      <c r="A36" s="1" t="s">
        <v>12</v>
      </c>
      <c r="B36" s="2" t="str">
        <f>HYPERLINK("https://bihardware.atlassian.net/browse/EMBEDDED-62?atlOrigin=eyJpIjoiYzgwYTQ0ZjEyNzQzNGJhN2JmNjEyZTM0NmRhZWZhNjIiLCJwIjoic2hlZXRzLWppcmEifQ","EMBEDDED-62")</f>
        <v>EMBEDDED-62</v>
      </c>
      <c r="C36" s="1" t="s">
        <v>52</v>
      </c>
      <c r="D36" s="1" t="s">
        <v>14</v>
      </c>
      <c r="E36" s="1" t="s">
        <v>15</v>
      </c>
      <c r="F36" s="1" t="s">
        <v>16</v>
      </c>
      <c r="G36" s="1" t="s">
        <v>17</v>
      </c>
      <c r="H36" s="1" t="s">
        <v>17</v>
      </c>
      <c r="I36" s="3">
        <v>45238.02537037037</v>
      </c>
      <c r="J36" s="3">
        <v>45457.94836805556</v>
      </c>
      <c r="K36" s="4">
        <v>45240.0</v>
      </c>
      <c r="L36" s="1" t="s">
        <v>18</v>
      </c>
    </row>
    <row r="37">
      <c r="A37" s="1" t="s">
        <v>12</v>
      </c>
      <c r="B37" s="2" t="str">
        <f>HYPERLINK("https://bihardware.atlassian.net/browse/EMBEDDED-63?atlOrigin=eyJpIjoiYzgwYTQ0ZjEyNzQzNGJhN2JmNjEyZTM0NmRhZWZhNjIiLCJwIjoic2hlZXRzLWppcmEifQ","EMBEDDED-63")</f>
        <v>EMBEDDED-63</v>
      </c>
      <c r="C37" s="1" t="s">
        <v>53</v>
      </c>
      <c r="D37" s="1" t="s">
        <v>14</v>
      </c>
      <c r="E37" s="1" t="s">
        <v>15</v>
      </c>
      <c r="F37" s="1" t="s">
        <v>16</v>
      </c>
      <c r="G37" s="1" t="s">
        <v>17</v>
      </c>
      <c r="H37" s="1" t="s">
        <v>17</v>
      </c>
      <c r="I37" s="3">
        <v>45238.02715277778</v>
      </c>
      <c r="J37" s="3">
        <v>45457.94836805556</v>
      </c>
      <c r="K37" s="4">
        <v>45240.0</v>
      </c>
      <c r="L37" s="1" t="s">
        <v>18</v>
      </c>
    </row>
    <row r="38">
      <c r="A38" s="1" t="s">
        <v>12</v>
      </c>
      <c r="B38" s="2" t="str">
        <f>HYPERLINK("https://bihardware.atlassian.net/browse/EMBEDDED-64?atlOrigin=eyJpIjoiYzgwYTQ0ZjEyNzQzNGJhN2JmNjEyZTM0NmRhZWZhNjIiLCJwIjoic2hlZXRzLWppcmEifQ","EMBEDDED-64")</f>
        <v>EMBEDDED-64</v>
      </c>
      <c r="C38" s="1" t="s">
        <v>54</v>
      </c>
      <c r="D38" s="1" t="s">
        <v>14</v>
      </c>
      <c r="E38" s="1" t="s">
        <v>15</v>
      </c>
      <c r="F38" s="1" t="s">
        <v>16</v>
      </c>
      <c r="G38" s="1" t="s">
        <v>17</v>
      </c>
      <c r="H38" s="1" t="s">
        <v>17</v>
      </c>
      <c r="I38" s="3">
        <v>45238.029131944444</v>
      </c>
      <c r="J38" s="3">
        <v>45457.948379629626</v>
      </c>
      <c r="K38" s="4">
        <v>45240.0</v>
      </c>
      <c r="L38" s="1" t="s">
        <v>18</v>
      </c>
    </row>
    <row r="39">
      <c r="A39" s="1" t="s">
        <v>12</v>
      </c>
      <c r="B39" s="2" t="str">
        <f>HYPERLINK("https://bihardware.atlassian.net/browse/EMBEDDED-66?atlOrigin=eyJpIjoiYzgwYTQ0ZjEyNzQzNGJhN2JmNjEyZTM0NmRhZWZhNjIiLCJwIjoic2hlZXRzLWppcmEifQ","EMBEDDED-66")</f>
        <v>EMBEDDED-66</v>
      </c>
      <c r="C39" s="1" t="s">
        <v>55</v>
      </c>
      <c r="D39" s="1" t="s">
        <v>14</v>
      </c>
      <c r="E39" s="1" t="s">
        <v>15</v>
      </c>
      <c r="F39" s="1" t="s">
        <v>16</v>
      </c>
      <c r="G39" s="1" t="s">
        <v>17</v>
      </c>
      <c r="H39" s="1" t="s">
        <v>17</v>
      </c>
      <c r="I39" s="3">
        <v>45239.17946759259</v>
      </c>
      <c r="J39" s="3">
        <v>45271.145266203705</v>
      </c>
      <c r="K39" s="4">
        <v>45264.0</v>
      </c>
      <c r="L39" s="1" t="s">
        <v>18</v>
      </c>
    </row>
    <row r="40">
      <c r="A40" s="1" t="s">
        <v>12</v>
      </c>
      <c r="B40" s="2" t="str">
        <f>HYPERLINK("https://bihardware.atlassian.net/browse/EMBEDDED-67?atlOrigin=eyJpIjoiYzgwYTQ0ZjEyNzQzNGJhN2JmNjEyZTM0NmRhZWZhNjIiLCJwIjoic2hlZXRzLWppcmEifQ","EMBEDDED-67")</f>
        <v>EMBEDDED-67</v>
      </c>
      <c r="C40" s="1" t="s">
        <v>34</v>
      </c>
      <c r="D40" s="1" t="s">
        <v>14</v>
      </c>
      <c r="E40" s="1" t="s">
        <v>15</v>
      </c>
      <c r="F40" s="1" t="s">
        <v>16</v>
      </c>
      <c r="G40" s="1" t="s">
        <v>17</v>
      </c>
      <c r="H40" s="1" t="s">
        <v>17</v>
      </c>
      <c r="I40" s="3">
        <v>45242.91091435185</v>
      </c>
      <c r="J40" s="3">
        <v>45271.145844907405</v>
      </c>
      <c r="K40" s="4">
        <v>45264.0</v>
      </c>
      <c r="L40" s="1" t="s">
        <v>18</v>
      </c>
    </row>
    <row r="41">
      <c r="A41" s="1" t="s">
        <v>12</v>
      </c>
      <c r="B41" s="2" t="str">
        <f>HYPERLINK("https://bihardware.atlassian.net/browse/EMBEDDED-68?atlOrigin=eyJpIjoiYzgwYTQ0ZjEyNzQzNGJhN2JmNjEyZTM0NmRhZWZhNjIiLCJwIjoic2hlZXRzLWppcmEifQ","EMBEDDED-68")</f>
        <v>EMBEDDED-68</v>
      </c>
      <c r="C41" s="1" t="s">
        <v>35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17</v>
      </c>
      <c r="I41" s="3">
        <v>45242.9206712963</v>
      </c>
      <c r="J41" s="3">
        <v>45301.11828703704</v>
      </c>
      <c r="K41" s="4">
        <v>45247.0</v>
      </c>
      <c r="L41" s="1" t="s">
        <v>18</v>
      </c>
    </row>
    <row r="42">
      <c r="A42" s="1" t="s">
        <v>12</v>
      </c>
      <c r="B42" s="2" t="str">
        <f>HYPERLINK("https://bihardware.atlassian.net/browse/EMBEDDED-72?atlOrigin=eyJpIjoiYzgwYTQ0ZjEyNzQzNGJhN2JmNjEyZTM0NmRhZWZhNjIiLCJwIjoic2hlZXRzLWppcmEifQ","EMBEDDED-72")</f>
        <v>EMBEDDED-72</v>
      </c>
      <c r="C42" s="1" t="s">
        <v>56</v>
      </c>
      <c r="D42" s="1" t="s">
        <v>14</v>
      </c>
      <c r="E42" s="1" t="s">
        <v>15</v>
      </c>
      <c r="F42" s="1" t="s">
        <v>16</v>
      </c>
      <c r="G42" s="1" t="s">
        <v>17</v>
      </c>
      <c r="H42" s="1" t="s">
        <v>17</v>
      </c>
      <c r="I42" s="3">
        <v>45245.08472222222</v>
      </c>
      <c r="J42" s="3">
        <v>45457.948425925926</v>
      </c>
      <c r="K42" s="4">
        <v>45248.0</v>
      </c>
      <c r="L42" s="1" t="s">
        <v>18</v>
      </c>
    </row>
    <row r="43">
      <c r="A43" s="1" t="s">
        <v>12</v>
      </c>
      <c r="B43" s="2" t="str">
        <f>HYPERLINK("https://bihardware.atlassian.net/browse/EMBEDDED-73?atlOrigin=eyJpIjoiYzgwYTQ0ZjEyNzQzNGJhN2JmNjEyZTM0NmRhZWZhNjIiLCJwIjoic2hlZXRzLWppcmEifQ","EMBEDDED-73")</f>
        <v>EMBEDDED-73</v>
      </c>
      <c r="C43" s="1" t="s">
        <v>57</v>
      </c>
      <c r="D43" s="1" t="s">
        <v>14</v>
      </c>
      <c r="E43" s="1" t="s">
        <v>15</v>
      </c>
      <c r="F43" s="1" t="s">
        <v>16</v>
      </c>
      <c r="G43" s="1" t="s">
        <v>17</v>
      </c>
      <c r="H43" s="1" t="s">
        <v>17</v>
      </c>
      <c r="I43" s="3">
        <v>45245.22589120371</v>
      </c>
      <c r="J43" s="3">
        <v>45457.948425925926</v>
      </c>
      <c r="K43" s="4">
        <v>45248.0</v>
      </c>
      <c r="L43" s="1" t="s">
        <v>18</v>
      </c>
    </row>
    <row r="44">
      <c r="A44" s="1" t="s">
        <v>12</v>
      </c>
      <c r="B44" s="2" t="str">
        <f>HYPERLINK("https://bihardware.atlassian.net/browse/EMBEDDED-74?atlOrigin=eyJpIjoiYzgwYTQ0ZjEyNzQzNGJhN2JmNjEyZTM0NmRhZWZhNjIiLCJwIjoic2hlZXRzLWppcmEifQ","EMBEDDED-74")</f>
        <v>EMBEDDED-74</v>
      </c>
      <c r="C44" s="1" t="s">
        <v>58</v>
      </c>
      <c r="D44" s="1" t="s">
        <v>14</v>
      </c>
      <c r="E44" s="1" t="s">
        <v>15</v>
      </c>
      <c r="F44" s="1" t="s">
        <v>16</v>
      </c>
      <c r="G44" s="1" t="s">
        <v>17</v>
      </c>
      <c r="H44" s="1" t="s">
        <v>17</v>
      </c>
      <c r="I44" s="3">
        <v>45245.24050925926</v>
      </c>
      <c r="J44" s="3">
        <v>45457.948425925926</v>
      </c>
      <c r="K44" s="4">
        <v>45248.0</v>
      </c>
      <c r="L44" s="1" t="s">
        <v>18</v>
      </c>
    </row>
    <row r="45">
      <c r="A45" s="1" t="s">
        <v>12</v>
      </c>
      <c r="B45" s="2" t="str">
        <f>HYPERLINK("https://bihardware.atlassian.net/browse/EMBEDDED-75?atlOrigin=eyJpIjoiYzgwYTQ0ZjEyNzQzNGJhN2JmNjEyZTM0NmRhZWZhNjIiLCJwIjoic2hlZXRzLWppcmEifQ","EMBEDDED-75")</f>
        <v>EMBEDDED-75</v>
      </c>
      <c r="C45" s="1" t="s">
        <v>59</v>
      </c>
      <c r="D45" s="1" t="s">
        <v>14</v>
      </c>
      <c r="E45" s="1" t="s">
        <v>15</v>
      </c>
      <c r="F45" s="1" t="s">
        <v>16</v>
      </c>
      <c r="G45" s="1" t="s">
        <v>17</v>
      </c>
      <c r="H45" s="1" t="s">
        <v>17</v>
      </c>
      <c r="I45" s="3">
        <v>45247.17574074074</v>
      </c>
      <c r="J45" s="3">
        <v>45391.99248842592</v>
      </c>
      <c r="K45" s="4">
        <v>45264.0</v>
      </c>
      <c r="L45" s="1" t="s">
        <v>18</v>
      </c>
    </row>
    <row r="46">
      <c r="A46" s="1" t="s">
        <v>12</v>
      </c>
      <c r="B46" s="2" t="str">
        <f>HYPERLINK("https://bihardware.atlassian.net/browse/EMBEDDED-76?atlOrigin=eyJpIjoiYzgwYTQ0ZjEyNzQzNGJhN2JmNjEyZTM0NmRhZWZhNjIiLCJwIjoic2hlZXRzLWppcmEifQ","EMBEDDED-76")</f>
        <v>EMBEDDED-76</v>
      </c>
      <c r="C46" s="1" t="s">
        <v>60</v>
      </c>
      <c r="D46" s="1" t="s">
        <v>14</v>
      </c>
      <c r="E46" s="1" t="s">
        <v>15</v>
      </c>
      <c r="F46" s="1" t="s">
        <v>16</v>
      </c>
      <c r="G46" s="1" t="s">
        <v>17</v>
      </c>
      <c r="H46" s="1" t="s">
        <v>17</v>
      </c>
      <c r="I46" s="3">
        <v>45247.177141203705</v>
      </c>
      <c r="J46" s="3">
        <v>45278.097453703704</v>
      </c>
      <c r="K46" s="4">
        <v>45264.0</v>
      </c>
      <c r="L46" s="1" t="s">
        <v>18</v>
      </c>
    </row>
    <row r="47">
      <c r="A47" s="1" t="s">
        <v>12</v>
      </c>
      <c r="B47" s="2" t="str">
        <f>HYPERLINK("https://bihardware.atlassian.net/browse/EMBEDDED-137?atlOrigin=eyJpIjoiYzgwYTQ0ZjEyNzQzNGJhN2JmNjEyZTM0NmRhZWZhNjIiLCJwIjoic2hlZXRzLWppcmEifQ","EMBEDDED-137")</f>
        <v>EMBEDDED-137</v>
      </c>
      <c r="C47" s="1" t="s">
        <v>61</v>
      </c>
      <c r="D47" s="1" t="s">
        <v>14</v>
      </c>
      <c r="E47" s="1" t="s">
        <v>15</v>
      </c>
      <c r="F47" s="1" t="s">
        <v>16</v>
      </c>
      <c r="G47" s="1" t="s">
        <v>17</v>
      </c>
      <c r="H47" s="1" t="s">
        <v>17</v>
      </c>
      <c r="I47" s="3">
        <v>45254.09556712963</v>
      </c>
      <c r="J47" s="3">
        <v>45457.94863425926</v>
      </c>
      <c r="K47" s="4">
        <v>45261.0</v>
      </c>
      <c r="L47" s="1" t="s">
        <v>18</v>
      </c>
    </row>
    <row r="48">
      <c r="A48" s="1" t="s">
        <v>12</v>
      </c>
      <c r="B48" s="2" t="str">
        <f>HYPERLINK("https://bihardware.atlassian.net/browse/EMBEDDED-138?atlOrigin=eyJpIjoiYzgwYTQ0ZjEyNzQzNGJhN2JmNjEyZTM0NmRhZWZhNjIiLCJwIjoic2hlZXRzLWppcmEifQ","EMBEDDED-138")</f>
        <v>EMBEDDED-138</v>
      </c>
      <c r="C48" s="1" t="s">
        <v>62</v>
      </c>
      <c r="D48" s="1" t="s">
        <v>14</v>
      </c>
      <c r="E48" s="1" t="s">
        <v>15</v>
      </c>
      <c r="F48" s="1" t="s">
        <v>16</v>
      </c>
      <c r="G48" s="1" t="s">
        <v>17</v>
      </c>
      <c r="H48" s="1" t="s">
        <v>17</v>
      </c>
      <c r="I48" s="3">
        <v>45254.14854166667</v>
      </c>
      <c r="J48" s="3">
        <v>45457.94862268519</v>
      </c>
      <c r="K48" s="4">
        <v>45261.0</v>
      </c>
      <c r="L48" s="1" t="s">
        <v>18</v>
      </c>
    </row>
    <row r="49">
      <c r="A49" s="1" t="s">
        <v>12</v>
      </c>
      <c r="B49" s="2" t="str">
        <f>HYPERLINK("https://bihardware.atlassian.net/browse/EMBEDDED-139?atlOrigin=eyJpIjoiYzgwYTQ0ZjEyNzQzNGJhN2JmNjEyZTM0NmRhZWZhNjIiLCJwIjoic2hlZXRzLWppcmEifQ","EMBEDDED-139")</f>
        <v>EMBEDDED-139</v>
      </c>
      <c r="C49" s="1" t="s">
        <v>63</v>
      </c>
      <c r="D49" s="1" t="s">
        <v>14</v>
      </c>
      <c r="E49" s="1" t="s">
        <v>15</v>
      </c>
      <c r="F49" s="1" t="s">
        <v>16</v>
      </c>
      <c r="G49" s="1" t="s">
        <v>17</v>
      </c>
      <c r="H49" s="1" t="s">
        <v>17</v>
      </c>
      <c r="I49" s="3">
        <v>45255.095034722224</v>
      </c>
      <c r="J49" s="3">
        <v>45457.94862268519</v>
      </c>
      <c r="K49" s="4">
        <v>45261.0</v>
      </c>
      <c r="L49" s="1" t="s">
        <v>18</v>
      </c>
    </row>
    <row r="50">
      <c r="A50" s="1" t="s">
        <v>12</v>
      </c>
      <c r="B50" s="2" t="str">
        <f>HYPERLINK("https://bihardware.atlassian.net/browse/EMBEDDED-140?atlOrigin=eyJpIjoiYzgwYTQ0ZjEyNzQzNGJhN2JmNjEyZTM0NmRhZWZhNjIiLCJwIjoic2hlZXRzLWppcmEifQ","EMBEDDED-140")</f>
        <v>EMBEDDED-140</v>
      </c>
      <c r="C50" s="1" t="s">
        <v>64</v>
      </c>
      <c r="D50" s="1" t="s">
        <v>14</v>
      </c>
      <c r="E50" s="1" t="s">
        <v>15</v>
      </c>
      <c r="F50" s="1" t="s">
        <v>16</v>
      </c>
      <c r="G50" s="1" t="s">
        <v>17</v>
      </c>
      <c r="H50" s="1" t="s">
        <v>17</v>
      </c>
      <c r="I50" s="3">
        <v>45255.1115625</v>
      </c>
      <c r="J50" s="3">
        <v>45266.96532407407</v>
      </c>
      <c r="K50" s="4">
        <v>45261.0</v>
      </c>
      <c r="L50" s="1" t="s">
        <v>18</v>
      </c>
    </row>
    <row r="51">
      <c r="A51" s="1" t="s">
        <v>12</v>
      </c>
      <c r="B51" s="2" t="str">
        <f>HYPERLINK("https://bihardware.atlassian.net/browse/EMBEDDED-141?atlOrigin=eyJpIjoiYzgwYTQ0ZjEyNzQzNGJhN2JmNjEyZTM0NmRhZWZhNjIiLCJwIjoic2hlZXRzLWppcmEifQ","EMBEDDED-141")</f>
        <v>EMBEDDED-141</v>
      </c>
      <c r="C51" s="1" t="s">
        <v>65</v>
      </c>
      <c r="D51" s="1" t="s">
        <v>14</v>
      </c>
      <c r="E51" s="1" t="s">
        <v>15</v>
      </c>
      <c r="F51" s="1" t="s">
        <v>16</v>
      </c>
      <c r="G51" s="1" t="s">
        <v>17</v>
      </c>
      <c r="H51" s="1" t="s">
        <v>17</v>
      </c>
      <c r="I51" s="3">
        <v>45255.17998842592</v>
      </c>
      <c r="J51" s="3">
        <v>45309.94050925926</v>
      </c>
      <c r="K51" s="4">
        <v>45260.0</v>
      </c>
      <c r="L51" s="1" t="s">
        <v>18</v>
      </c>
    </row>
    <row r="52">
      <c r="A52" s="1" t="s">
        <v>12</v>
      </c>
      <c r="B52" s="2" t="str">
        <f>HYPERLINK("https://bihardware.atlassian.net/browse/EMBEDDED-147?atlOrigin=eyJpIjoiYzgwYTQ0ZjEyNzQzNGJhN2JmNjEyZTM0NmRhZWZhNjIiLCJwIjoic2hlZXRzLWppcmEifQ","EMBEDDED-147")</f>
        <v>EMBEDDED-147</v>
      </c>
      <c r="C52" s="1" t="s">
        <v>66</v>
      </c>
      <c r="D52" s="1" t="s">
        <v>14</v>
      </c>
      <c r="E52" s="1" t="s">
        <v>15</v>
      </c>
      <c r="F52" s="1" t="s">
        <v>16</v>
      </c>
      <c r="G52" s="1" t="s">
        <v>17</v>
      </c>
      <c r="H52" s="1" t="s">
        <v>17</v>
      </c>
      <c r="I52" s="3">
        <v>45257.22199074074</v>
      </c>
      <c r="J52" s="3">
        <v>45274.10873842592</v>
      </c>
      <c r="K52" s="4">
        <v>45264.0</v>
      </c>
      <c r="L52" s="1" t="s">
        <v>18</v>
      </c>
    </row>
    <row r="53">
      <c r="A53" s="1" t="s">
        <v>12</v>
      </c>
      <c r="B53" s="2" t="str">
        <f>HYPERLINK("https://bihardware.atlassian.net/browse/EMBEDDED-149?atlOrigin=eyJpIjoiYzgwYTQ0ZjEyNzQzNGJhN2JmNjEyZTM0NmRhZWZhNjIiLCJwIjoic2hlZXRzLWppcmEifQ","EMBEDDED-149")</f>
        <v>EMBEDDED-149</v>
      </c>
      <c r="C53" s="1" t="s">
        <v>67</v>
      </c>
      <c r="D53" s="1" t="s">
        <v>14</v>
      </c>
      <c r="E53" s="1" t="s">
        <v>15</v>
      </c>
      <c r="F53" s="1" t="s">
        <v>16</v>
      </c>
      <c r="G53" s="1" t="s">
        <v>17</v>
      </c>
      <c r="H53" s="1" t="s">
        <v>17</v>
      </c>
      <c r="I53" s="3">
        <v>45258.95699074074</v>
      </c>
      <c r="J53" s="3">
        <v>45457.94866898148</v>
      </c>
      <c r="K53" s="4">
        <v>45268.0</v>
      </c>
      <c r="L53" s="1" t="s">
        <v>18</v>
      </c>
    </row>
    <row r="54">
      <c r="A54" s="1" t="s">
        <v>12</v>
      </c>
      <c r="B54" s="2" t="str">
        <f>HYPERLINK("https://bihardware.atlassian.net/browse/EMBEDDED-150?atlOrigin=eyJpIjoiYzgwYTQ0ZjEyNzQzNGJhN2JmNjEyZTM0NmRhZWZhNjIiLCJwIjoic2hlZXRzLWppcmEifQ","EMBEDDED-150")</f>
        <v>EMBEDDED-150</v>
      </c>
      <c r="C54" s="1" t="s">
        <v>68</v>
      </c>
      <c r="D54" s="1" t="s">
        <v>14</v>
      </c>
      <c r="E54" s="1" t="s">
        <v>15</v>
      </c>
      <c r="F54" s="1" t="s">
        <v>16</v>
      </c>
      <c r="G54" s="1" t="s">
        <v>17</v>
      </c>
      <c r="H54" s="1" t="s">
        <v>17</v>
      </c>
      <c r="I54" s="3">
        <v>45259.9134375</v>
      </c>
      <c r="J54" s="3">
        <v>45274.05287037037</v>
      </c>
      <c r="K54" s="4">
        <v>45268.0</v>
      </c>
      <c r="L54" s="1" t="s">
        <v>18</v>
      </c>
    </row>
    <row r="55">
      <c r="A55" s="1" t="s">
        <v>12</v>
      </c>
      <c r="B55" s="2" t="str">
        <f>HYPERLINK("https://bihardware.atlassian.net/browse/EMBEDDED-151?atlOrigin=eyJpIjoiYzgwYTQ0ZjEyNzQzNGJhN2JmNjEyZTM0NmRhZWZhNjIiLCJwIjoic2hlZXRzLWppcmEifQ","EMBEDDED-151")</f>
        <v>EMBEDDED-151</v>
      </c>
      <c r="C55" s="1" t="s">
        <v>69</v>
      </c>
      <c r="D55" s="1" t="s">
        <v>14</v>
      </c>
      <c r="E55" s="1" t="s">
        <v>15</v>
      </c>
      <c r="F55" s="1" t="s">
        <v>16</v>
      </c>
      <c r="G55" s="1" t="s">
        <v>17</v>
      </c>
      <c r="H55" s="1" t="s">
        <v>17</v>
      </c>
      <c r="I55" s="3">
        <v>45259.98626157407</v>
      </c>
      <c r="J55" s="3">
        <v>45274.05472222222</v>
      </c>
      <c r="K55" s="4">
        <v>45268.0</v>
      </c>
      <c r="L55" s="1" t="s">
        <v>18</v>
      </c>
    </row>
    <row r="56">
      <c r="A56" s="1" t="s">
        <v>12</v>
      </c>
      <c r="B56" s="2" t="str">
        <f>HYPERLINK("https://bihardware.atlassian.net/browse/EMBEDDED-152?atlOrigin=eyJpIjoiYzgwYTQ0ZjEyNzQzNGJhN2JmNjEyZTM0NmRhZWZhNjIiLCJwIjoic2hlZXRzLWppcmEifQ","EMBEDDED-152")</f>
        <v>EMBEDDED-152</v>
      </c>
      <c r="C56" s="1" t="s">
        <v>70</v>
      </c>
      <c r="D56" s="1" t="s">
        <v>14</v>
      </c>
      <c r="E56" s="1" t="s">
        <v>15</v>
      </c>
      <c r="F56" s="1" t="s">
        <v>16</v>
      </c>
      <c r="G56" s="1" t="s">
        <v>17</v>
      </c>
      <c r="H56" s="1" t="s">
        <v>17</v>
      </c>
      <c r="I56" s="3">
        <v>45260.01652777778</v>
      </c>
      <c r="J56" s="3">
        <v>45457.948645833334</v>
      </c>
      <c r="K56" s="4">
        <v>45268.0</v>
      </c>
      <c r="L56" s="1" t="s">
        <v>18</v>
      </c>
    </row>
    <row r="57">
      <c r="A57" s="1" t="s">
        <v>12</v>
      </c>
      <c r="B57" s="2" t="str">
        <f>HYPERLINK("https://bihardware.atlassian.net/browse/EMBEDDED-185?atlOrigin=eyJpIjoiYzgwYTQ0ZjEyNzQzNGJhN2JmNjEyZTM0NmRhZWZhNjIiLCJwIjoic2hlZXRzLWppcmEifQ","EMBEDDED-185")</f>
        <v>EMBEDDED-185</v>
      </c>
      <c r="C57" s="1" t="s">
        <v>71</v>
      </c>
      <c r="D57" s="1" t="s">
        <v>14</v>
      </c>
      <c r="E57" s="1" t="s">
        <v>15</v>
      </c>
      <c r="F57" s="1" t="s">
        <v>16</v>
      </c>
      <c r="G57" s="1" t="s">
        <v>17</v>
      </c>
      <c r="H57" s="1" t="s">
        <v>17</v>
      </c>
      <c r="I57" s="3">
        <v>45264.14548611111</v>
      </c>
      <c r="J57" s="3">
        <v>45457.94836805556</v>
      </c>
      <c r="K57" s="4">
        <v>45268.0</v>
      </c>
      <c r="L57" s="1" t="s">
        <v>18</v>
      </c>
    </row>
    <row r="58">
      <c r="A58" s="1" t="s">
        <v>12</v>
      </c>
      <c r="B58" s="2" t="str">
        <f>HYPERLINK("https://bihardware.atlassian.net/browse/EMBEDDED-187?atlOrigin=eyJpIjoiYzgwYTQ0ZjEyNzQzNGJhN2JmNjEyZTM0NmRhZWZhNjIiLCJwIjoic2hlZXRzLWppcmEifQ","EMBEDDED-187")</f>
        <v>EMBEDDED-187</v>
      </c>
      <c r="C58" s="1" t="s">
        <v>72</v>
      </c>
      <c r="D58" s="1" t="s">
        <v>14</v>
      </c>
      <c r="E58" s="1" t="s">
        <v>15</v>
      </c>
      <c r="F58" s="1" t="s">
        <v>16</v>
      </c>
      <c r="G58" s="1" t="s">
        <v>17</v>
      </c>
      <c r="H58" s="1" t="s">
        <v>17</v>
      </c>
      <c r="I58" s="3">
        <v>45264.97689814815</v>
      </c>
      <c r="J58" s="3">
        <v>45391.99228009259</v>
      </c>
      <c r="K58" s="4">
        <v>45264.0</v>
      </c>
      <c r="L58" s="1" t="s">
        <v>18</v>
      </c>
    </row>
    <row r="59">
      <c r="A59" s="1" t="s">
        <v>12</v>
      </c>
      <c r="B59" s="2" t="str">
        <f>HYPERLINK("https://bihardware.atlassian.net/browse/EMBEDDED-189?atlOrigin=eyJpIjoiYzgwYTQ0ZjEyNzQzNGJhN2JmNjEyZTM0NmRhZWZhNjIiLCJwIjoic2hlZXRzLWppcmEifQ","EMBEDDED-189")</f>
        <v>EMBEDDED-189</v>
      </c>
      <c r="C59" s="1" t="s">
        <v>73</v>
      </c>
      <c r="D59" s="1" t="s">
        <v>14</v>
      </c>
      <c r="E59" s="1" t="s">
        <v>15</v>
      </c>
      <c r="F59" s="1" t="s">
        <v>16</v>
      </c>
      <c r="G59" s="1" t="s">
        <v>17</v>
      </c>
      <c r="H59" s="1" t="s">
        <v>17</v>
      </c>
      <c r="I59" s="3">
        <v>45265.04803240741</v>
      </c>
      <c r="J59" s="3">
        <v>45278.09694444444</v>
      </c>
      <c r="K59" s="4">
        <v>45264.0</v>
      </c>
      <c r="L59" s="1" t="s">
        <v>18</v>
      </c>
    </row>
    <row r="60">
      <c r="A60" s="1" t="s">
        <v>12</v>
      </c>
      <c r="B60" s="2" t="str">
        <f>HYPERLINK("https://bihardware.atlassian.net/browse/EMBEDDED-190?atlOrigin=eyJpIjoiYzgwYTQ0ZjEyNzQzNGJhN2JmNjEyZTM0NmRhZWZhNjIiLCJwIjoic2hlZXRzLWppcmEifQ","EMBEDDED-190")</f>
        <v>EMBEDDED-190</v>
      </c>
      <c r="C60" s="1" t="s">
        <v>74</v>
      </c>
      <c r="D60" s="1" t="s">
        <v>14</v>
      </c>
      <c r="E60" s="1" t="s">
        <v>15</v>
      </c>
      <c r="F60" s="1" t="s">
        <v>16</v>
      </c>
      <c r="G60" s="1" t="s">
        <v>17</v>
      </c>
      <c r="H60" s="1" t="s">
        <v>17</v>
      </c>
      <c r="I60" s="3">
        <v>45265.14053240741</v>
      </c>
      <c r="J60" s="3">
        <v>45278.095300925925</v>
      </c>
      <c r="K60" s="4">
        <v>45264.0</v>
      </c>
      <c r="L60" s="1" t="s">
        <v>18</v>
      </c>
    </row>
    <row r="61">
      <c r="A61" s="1" t="s">
        <v>12</v>
      </c>
      <c r="B61" s="2" t="str">
        <f>HYPERLINK("https://bihardware.atlassian.net/browse/EMBEDDED-191?atlOrigin=eyJpIjoiYzgwYTQ0ZjEyNzQzNGJhN2JmNjEyZTM0NmRhZWZhNjIiLCJwIjoic2hlZXRzLWppcmEifQ","EMBEDDED-191")</f>
        <v>EMBEDDED-191</v>
      </c>
      <c r="C61" s="1" t="s">
        <v>75</v>
      </c>
      <c r="D61" s="1" t="s">
        <v>14</v>
      </c>
      <c r="E61" s="1" t="s">
        <v>15</v>
      </c>
      <c r="F61" s="1" t="s">
        <v>16</v>
      </c>
      <c r="G61" s="1" t="s">
        <v>17</v>
      </c>
      <c r="H61" s="1" t="s">
        <v>17</v>
      </c>
      <c r="I61" s="3">
        <v>45265.17716435185</v>
      </c>
      <c r="J61" s="3">
        <v>45278.09519675926</v>
      </c>
      <c r="K61" s="4">
        <v>45264.0</v>
      </c>
      <c r="L61" s="1" t="s">
        <v>18</v>
      </c>
    </row>
    <row r="62">
      <c r="A62" s="1" t="s">
        <v>12</v>
      </c>
      <c r="B62" s="2" t="str">
        <f>HYPERLINK("https://bihardware.atlassian.net/browse/EMBEDDED-194?atlOrigin=eyJpIjoiYzgwYTQ0ZjEyNzQzNGJhN2JmNjEyZTM0NmRhZWZhNjIiLCJwIjoic2hlZXRzLWppcmEifQ","EMBEDDED-194")</f>
        <v>EMBEDDED-194</v>
      </c>
      <c r="C62" s="1" t="s">
        <v>76</v>
      </c>
      <c r="D62" s="1" t="s">
        <v>14</v>
      </c>
      <c r="E62" s="1" t="s">
        <v>15</v>
      </c>
      <c r="F62" s="1" t="s">
        <v>16</v>
      </c>
      <c r="G62" s="1" t="s">
        <v>17</v>
      </c>
      <c r="H62" s="1" t="s">
        <v>17</v>
      </c>
      <c r="I62" s="3">
        <v>45266.01288194444</v>
      </c>
      <c r="J62" s="3">
        <v>45278.094930555555</v>
      </c>
      <c r="K62" s="4">
        <v>45264.0</v>
      </c>
      <c r="L62" s="1" t="s">
        <v>18</v>
      </c>
    </row>
    <row r="63">
      <c r="A63" s="1" t="s">
        <v>12</v>
      </c>
      <c r="B63" s="2" t="str">
        <f>HYPERLINK("https://bihardware.atlassian.net/browse/EMBEDDED-195?atlOrigin=eyJpIjoiYzgwYTQ0ZjEyNzQzNGJhN2JmNjEyZTM0NmRhZWZhNjIiLCJwIjoic2hlZXRzLWppcmEifQ","EMBEDDED-195")</f>
        <v>EMBEDDED-195</v>
      </c>
      <c r="C63" s="1" t="s">
        <v>77</v>
      </c>
      <c r="D63" s="1" t="s">
        <v>14</v>
      </c>
      <c r="E63" s="1" t="s">
        <v>15</v>
      </c>
      <c r="F63" s="1" t="s">
        <v>16</v>
      </c>
      <c r="G63" s="1" t="s">
        <v>17</v>
      </c>
      <c r="H63" s="1" t="s">
        <v>17</v>
      </c>
      <c r="I63" s="3">
        <v>45266.13724537037</v>
      </c>
      <c r="J63" s="3">
        <v>45278.088842592595</v>
      </c>
      <c r="K63" s="4">
        <v>45269.0</v>
      </c>
      <c r="L63" s="1" t="s">
        <v>18</v>
      </c>
    </row>
    <row r="64">
      <c r="A64" s="1" t="s">
        <v>12</v>
      </c>
      <c r="B64" s="2" t="str">
        <f>HYPERLINK("https://bihardware.atlassian.net/browse/EMBEDDED-257?atlOrigin=eyJpIjoiYzgwYTQ0ZjEyNzQzNGJhN2JmNjEyZTM0NmRhZWZhNjIiLCJwIjoic2hlZXRzLWppcmEifQ","EMBEDDED-257")</f>
        <v>EMBEDDED-257</v>
      </c>
      <c r="C64" s="1" t="s">
        <v>78</v>
      </c>
      <c r="D64" s="1" t="s">
        <v>14</v>
      </c>
      <c r="E64" s="1" t="s">
        <v>15</v>
      </c>
      <c r="F64" s="1" t="s">
        <v>16</v>
      </c>
      <c r="G64" s="1" t="s">
        <v>17</v>
      </c>
      <c r="H64" s="1" t="s">
        <v>17</v>
      </c>
      <c r="I64" s="3">
        <v>45271.19173611111</v>
      </c>
      <c r="J64" s="3">
        <v>45482.00171296296</v>
      </c>
      <c r="K64" s="4">
        <v>45280.0</v>
      </c>
      <c r="L64" s="1" t="s">
        <v>18</v>
      </c>
    </row>
    <row r="65">
      <c r="A65" s="1" t="s">
        <v>12</v>
      </c>
      <c r="B65" s="2" t="str">
        <f>HYPERLINK("https://bihardware.atlassian.net/browse/EMBEDDED-265?atlOrigin=eyJpIjoiYzgwYTQ0ZjEyNzQzNGJhN2JmNjEyZTM0NmRhZWZhNjIiLCJwIjoic2hlZXRzLWppcmEifQ","EMBEDDED-265")</f>
        <v>EMBEDDED-265</v>
      </c>
      <c r="C65" s="1" t="s">
        <v>79</v>
      </c>
      <c r="D65" s="1" t="s">
        <v>14</v>
      </c>
      <c r="E65" s="1" t="s">
        <v>15</v>
      </c>
      <c r="F65" s="1" t="s">
        <v>16</v>
      </c>
      <c r="G65" s="1" t="s">
        <v>17</v>
      </c>
      <c r="H65" s="1" t="s">
        <v>17</v>
      </c>
      <c r="I65" s="3">
        <v>45273.12883101852</v>
      </c>
      <c r="J65" s="3">
        <v>45309.20618055556</v>
      </c>
      <c r="K65" s="4">
        <v>45282.0</v>
      </c>
      <c r="L65" s="1" t="s">
        <v>18</v>
      </c>
    </row>
    <row r="66">
      <c r="A66" s="1" t="s">
        <v>12</v>
      </c>
      <c r="B66" s="2" t="str">
        <f>HYPERLINK("https://bihardware.atlassian.net/browse/EMBEDDED-266?atlOrigin=eyJpIjoiYzgwYTQ0ZjEyNzQzNGJhN2JmNjEyZTM0NmRhZWZhNjIiLCJwIjoic2hlZXRzLWppcmEifQ","EMBEDDED-266")</f>
        <v>EMBEDDED-266</v>
      </c>
      <c r="C66" s="1" t="s">
        <v>80</v>
      </c>
      <c r="D66" s="1" t="s">
        <v>14</v>
      </c>
      <c r="E66" s="1" t="s">
        <v>15</v>
      </c>
      <c r="F66" s="1" t="s">
        <v>16</v>
      </c>
      <c r="G66" s="1" t="s">
        <v>17</v>
      </c>
      <c r="H66" s="1" t="s">
        <v>17</v>
      </c>
      <c r="I66" s="3">
        <v>45274.093819444446</v>
      </c>
      <c r="J66" s="3">
        <v>45391.992731481485</v>
      </c>
      <c r="K66" s="4">
        <v>45275.0</v>
      </c>
      <c r="L66" s="1" t="s">
        <v>18</v>
      </c>
    </row>
    <row r="67">
      <c r="A67" s="1" t="s">
        <v>12</v>
      </c>
      <c r="B67" s="2" t="str">
        <f>HYPERLINK("https://bihardware.atlassian.net/browse/EMBEDDED-267?atlOrigin=eyJpIjoiYzgwYTQ0ZjEyNzQzNGJhN2JmNjEyZTM0NmRhZWZhNjIiLCJwIjoic2hlZXRzLWppcmEifQ","EMBEDDED-267")</f>
        <v>EMBEDDED-267</v>
      </c>
      <c r="C67" s="1" t="s">
        <v>81</v>
      </c>
      <c r="D67" s="1" t="s">
        <v>14</v>
      </c>
      <c r="E67" s="1" t="s">
        <v>15</v>
      </c>
      <c r="F67" s="1" t="s">
        <v>16</v>
      </c>
      <c r="G67" s="1" t="s">
        <v>17</v>
      </c>
      <c r="H67" s="1" t="s">
        <v>17</v>
      </c>
      <c r="I67" s="3">
        <v>45275.12783564815</v>
      </c>
      <c r="J67" s="3">
        <v>45288.09292824074</v>
      </c>
      <c r="K67" s="4">
        <v>45282.0</v>
      </c>
      <c r="L67" s="1" t="s">
        <v>18</v>
      </c>
    </row>
    <row r="68">
      <c r="A68" s="1" t="s">
        <v>12</v>
      </c>
      <c r="B68" s="2" t="str">
        <f>HYPERLINK("https://bihardware.atlassian.net/browse/EMBEDDED-268?atlOrigin=eyJpIjoiYzgwYTQ0ZjEyNzQzNGJhN2JmNjEyZTM0NmRhZWZhNjIiLCJwIjoic2hlZXRzLWppcmEifQ","EMBEDDED-268")</f>
        <v>EMBEDDED-268</v>
      </c>
      <c r="C68" s="1" t="s">
        <v>82</v>
      </c>
      <c r="D68" s="1" t="s">
        <v>14</v>
      </c>
      <c r="E68" s="1" t="s">
        <v>15</v>
      </c>
      <c r="F68" s="1" t="s">
        <v>16</v>
      </c>
      <c r="G68" s="1" t="s">
        <v>17</v>
      </c>
      <c r="H68" s="1" t="s">
        <v>17</v>
      </c>
      <c r="I68" s="3">
        <v>45275.234351851854</v>
      </c>
      <c r="J68" s="3">
        <v>45286.08267361111</v>
      </c>
      <c r="K68" s="4">
        <v>45282.0</v>
      </c>
      <c r="L68" s="1" t="s">
        <v>18</v>
      </c>
    </row>
    <row r="69">
      <c r="A69" s="1" t="s">
        <v>12</v>
      </c>
      <c r="B69" s="2" t="str">
        <f>HYPERLINK("https://bihardware.atlassian.net/browse/EMBEDDED-317?atlOrigin=eyJpIjoiYzgwYTQ0ZjEyNzQzNGJhN2JmNjEyZTM0NmRhZWZhNjIiLCJwIjoic2hlZXRzLWppcmEifQ","EMBEDDED-317")</f>
        <v>EMBEDDED-317</v>
      </c>
      <c r="C69" s="1" t="s">
        <v>83</v>
      </c>
      <c r="D69" s="1" t="s">
        <v>14</v>
      </c>
      <c r="E69" s="1" t="s">
        <v>15</v>
      </c>
      <c r="F69" s="1" t="s">
        <v>84</v>
      </c>
      <c r="G69" s="1" t="s">
        <v>17</v>
      </c>
      <c r="H69" s="1" t="s">
        <v>17</v>
      </c>
      <c r="I69" s="3">
        <v>45282.10835648148</v>
      </c>
      <c r="J69" s="3">
        <v>45457.94844907407</v>
      </c>
      <c r="K69" s="4">
        <v>45289.0</v>
      </c>
      <c r="L69" s="1" t="s">
        <v>18</v>
      </c>
    </row>
    <row r="70">
      <c r="A70" s="1" t="s">
        <v>12</v>
      </c>
      <c r="B70" s="2" t="str">
        <f>HYPERLINK("https://bihardware.atlassian.net/browse/EMBEDDED-318?atlOrigin=eyJpIjoiYzgwYTQ0ZjEyNzQzNGJhN2JmNjEyZTM0NmRhZWZhNjIiLCJwIjoic2hlZXRzLWppcmEifQ","EMBEDDED-318")</f>
        <v>EMBEDDED-318</v>
      </c>
      <c r="C70" s="1" t="s">
        <v>85</v>
      </c>
      <c r="D70" s="1" t="s">
        <v>14</v>
      </c>
      <c r="E70" s="1" t="s">
        <v>15</v>
      </c>
      <c r="F70" s="1" t="s">
        <v>16</v>
      </c>
      <c r="G70" s="1" t="s">
        <v>17</v>
      </c>
      <c r="H70" s="1" t="s">
        <v>17</v>
      </c>
      <c r="I70" s="3">
        <v>45282.134050925924</v>
      </c>
      <c r="J70" s="3">
        <v>45457.94846064815</v>
      </c>
      <c r="K70" s="4">
        <v>45289.0</v>
      </c>
      <c r="L70" s="1" t="s">
        <v>18</v>
      </c>
    </row>
    <row r="71">
      <c r="A71" s="1" t="s">
        <v>12</v>
      </c>
      <c r="B71" s="2" t="str">
        <f>HYPERLINK("https://bihardware.atlassian.net/browse/EMBEDDED-319?atlOrigin=eyJpIjoiYzgwYTQ0ZjEyNzQzNGJhN2JmNjEyZTM0NmRhZWZhNjIiLCJwIjoic2hlZXRzLWppcmEifQ","EMBEDDED-319")</f>
        <v>EMBEDDED-319</v>
      </c>
      <c r="C71" s="1" t="s">
        <v>86</v>
      </c>
      <c r="D71" s="1" t="s">
        <v>14</v>
      </c>
      <c r="E71" s="1" t="s">
        <v>15</v>
      </c>
      <c r="F71" s="1" t="s">
        <v>16</v>
      </c>
      <c r="G71" s="1" t="s">
        <v>17</v>
      </c>
      <c r="H71" s="1" t="s">
        <v>17</v>
      </c>
      <c r="I71" s="3">
        <v>45282.178715277776</v>
      </c>
      <c r="J71" s="3">
        <v>45457.94844907407</v>
      </c>
      <c r="K71" s="4">
        <v>45289.0</v>
      </c>
      <c r="L71" s="1" t="s">
        <v>18</v>
      </c>
    </row>
    <row r="72">
      <c r="A72" s="1" t="s">
        <v>12</v>
      </c>
      <c r="B72" s="2" t="str">
        <f>HYPERLINK("https://bihardware.atlassian.net/browse/EMBEDDED-333?atlOrigin=eyJpIjoiYzgwYTQ0ZjEyNzQzNGJhN2JmNjEyZTM0NmRhZWZhNjIiLCJwIjoic2hlZXRzLWppcmEifQ","EMBEDDED-333")</f>
        <v>EMBEDDED-333</v>
      </c>
      <c r="C72" s="1" t="s">
        <v>87</v>
      </c>
      <c r="D72" s="1" t="s">
        <v>14</v>
      </c>
      <c r="E72" s="1" t="s">
        <v>15</v>
      </c>
      <c r="F72" s="1" t="s">
        <v>16</v>
      </c>
      <c r="G72" s="1" t="s">
        <v>17</v>
      </c>
      <c r="H72" s="1" t="s">
        <v>17</v>
      </c>
      <c r="I72" s="3">
        <v>45293.03459490741</v>
      </c>
      <c r="J72" s="3">
        <v>45302.1384837963</v>
      </c>
      <c r="K72" s="4">
        <v>45296.0</v>
      </c>
      <c r="L72" s="1" t="s">
        <v>18</v>
      </c>
    </row>
    <row r="73">
      <c r="A73" s="1" t="s">
        <v>12</v>
      </c>
      <c r="B73" s="2" t="str">
        <f>HYPERLINK("https://bihardware.atlassian.net/browse/EMBEDDED-335?atlOrigin=eyJpIjoiYzgwYTQ0ZjEyNzQzNGJhN2JmNjEyZTM0NmRhZWZhNjIiLCJwIjoic2hlZXRzLWppcmEifQ","EMBEDDED-335")</f>
        <v>EMBEDDED-335</v>
      </c>
      <c r="C73" s="1" t="s">
        <v>88</v>
      </c>
      <c r="D73" s="1" t="s">
        <v>14</v>
      </c>
      <c r="E73" s="1" t="s">
        <v>15</v>
      </c>
      <c r="F73" s="1" t="s">
        <v>16</v>
      </c>
      <c r="G73" s="1" t="s">
        <v>17</v>
      </c>
      <c r="H73" s="1" t="s">
        <v>17</v>
      </c>
      <c r="I73" s="3">
        <v>45293.12244212963</v>
      </c>
      <c r="J73" s="3">
        <v>45302.17118055555</v>
      </c>
      <c r="K73" s="4">
        <v>45296.0</v>
      </c>
      <c r="L73" s="1" t="s">
        <v>18</v>
      </c>
    </row>
    <row r="74">
      <c r="A74" s="1" t="s">
        <v>12</v>
      </c>
      <c r="B74" s="2" t="str">
        <f>HYPERLINK("https://bihardware.atlassian.net/browse/EMBEDDED-336?atlOrigin=eyJpIjoiYzgwYTQ0ZjEyNzQzNGJhN2JmNjEyZTM0NmRhZWZhNjIiLCJwIjoic2hlZXRzLWppcmEifQ","EMBEDDED-336")</f>
        <v>EMBEDDED-336</v>
      </c>
      <c r="C74" s="1" t="s">
        <v>89</v>
      </c>
      <c r="D74" s="1" t="s">
        <v>14</v>
      </c>
      <c r="E74" s="1" t="s">
        <v>15</v>
      </c>
      <c r="F74" s="1" t="s">
        <v>16</v>
      </c>
      <c r="G74" s="1" t="s">
        <v>17</v>
      </c>
      <c r="H74" s="1" t="s">
        <v>17</v>
      </c>
      <c r="I74" s="3">
        <v>45295.21228009259</v>
      </c>
      <c r="J74" s="3">
        <v>45302.15074074074</v>
      </c>
      <c r="K74" s="4">
        <v>45303.0</v>
      </c>
      <c r="L74" s="1" t="s">
        <v>18</v>
      </c>
    </row>
    <row r="75">
      <c r="A75" s="1" t="s">
        <v>12</v>
      </c>
      <c r="B75" s="2" t="str">
        <f>HYPERLINK("https://bihardware.atlassian.net/browse/EMBEDDED-337?atlOrigin=eyJpIjoiYzgwYTQ0ZjEyNzQzNGJhN2JmNjEyZTM0NmRhZWZhNjIiLCJwIjoic2hlZXRzLWppcmEifQ","EMBEDDED-337")</f>
        <v>EMBEDDED-337</v>
      </c>
      <c r="C75" s="1" t="s">
        <v>90</v>
      </c>
      <c r="D75" s="1" t="s">
        <v>14</v>
      </c>
      <c r="E75" s="1" t="s">
        <v>15</v>
      </c>
      <c r="F75" s="1" t="s">
        <v>16</v>
      </c>
      <c r="G75" s="1" t="s">
        <v>17</v>
      </c>
      <c r="H75" s="1" t="s">
        <v>17</v>
      </c>
      <c r="I75" s="3">
        <v>45297.13228009259</v>
      </c>
      <c r="J75" s="3">
        <v>45302.170381944445</v>
      </c>
      <c r="K75" s="4">
        <v>45303.0</v>
      </c>
      <c r="L75" s="1" t="s">
        <v>18</v>
      </c>
    </row>
    <row r="76">
      <c r="A76" s="1" t="s">
        <v>12</v>
      </c>
      <c r="B76" s="2" t="str">
        <f>HYPERLINK("https://bihardware.atlassian.net/browse/EMBEDDED-349?atlOrigin=eyJpIjoiYzgwYTQ0ZjEyNzQzNGJhN2JmNjEyZTM0NmRhZWZhNjIiLCJwIjoic2hlZXRzLWppcmEifQ","EMBEDDED-349")</f>
        <v>EMBEDDED-349</v>
      </c>
      <c r="C76" s="1" t="s">
        <v>91</v>
      </c>
      <c r="D76" s="1" t="s">
        <v>14</v>
      </c>
      <c r="E76" s="1" t="s">
        <v>15</v>
      </c>
      <c r="F76" s="1" t="s">
        <v>16</v>
      </c>
      <c r="G76" s="1" t="s">
        <v>17</v>
      </c>
      <c r="H76" s="1" t="s">
        <v>17</v>
      </c>
      <c r="I76" s="3">
        <v>45303.09234953704</v>
      </c>
      <c r="J76" s="3">
        <v>45409.195625</v>
      </c>
      <c r="K76" s="4">
        <v>45310.0</v>
      </c>
      <c r="L76" s="1" t="s">
        <v>18</v>
      </c>
    </row>
    <row r="77">
      <c r="A77" s="1" t="s">
        <v>12</v>
      </c>
      <c r="B77" s="2" t="str">
        <f>HYPERLINK("https://bihardware.atlassian.net/browse/EMBEDDED-355?atlOrigin=eyJpIjoiYzgwYTQ0ZjEyNzQzNGJhN2JmNjEyZTM0NmRhZWZhNjIiLCJwIjoic2hlZXRzLWppcmEifQ","EMBEDDED-355")</f>
        <v>EMBEDDED-355</v>
      </c>
      <c r="C77" s="1" t="s">
        <v>92</v>
      </c>
      <c r="D77" s="1" t="s">
        <v>14</v>
      </c>
      <c r="E77" s="1" t="s">
        <v>15</v>
      </c>
      <c r="F77" s="1" t="s">
        <v>16</v>
      </c>
      <c r="G77" s="1" t="s">
        <v>17</v>
      </c>
      <c r="H77" s="1" t="s">
        <v>17</v>
      </c>
      <c r="I77" s="3">
        <v>45309.25876157408</v>
      </c>
      <c r="J77" s="3">
        <v>45391.99288194445</v>
      </c>
      <c r="K77" s="4">
        <v>45317.0</v>
      </c>
      <c r="L77" s="1" t="s">
        <v>18</v>
      </c>
    </row>
    <row r="78">
      <c r="A78" s="1" t="s">
        <v>12</v>
      </c>
      <c r="B78" s="2" t="str">
        <f>HYPERLINK("https://bihardware.atlassian.net/browse/EMBEDDED-360?atlOrigin=eyJpIjoiYzgwYTQ0ZjEyNzQzNGJhN2JmNjEyZTM0NmRhZWZhNjIiLCJwIjoic2hlZXRzLWppcmEifQ","EMBEDDED-360")</f>
        <v>EMBEDDED-360</v>
      </c>
      <c r="C78" s="1" t="s">
        <v>93</v>
      </c>
      <c r="D78" s="1" t="s">
        <v>14</v>
      </c>
      <c r="E78" s="1" t="s">
        <v>15</v>
      </c>
      <c r="F78" s="1" t="s">
        <v>16</v>
      </c>
      <c r="G78" s="1" t="s">
        <v>17</v>
      </c>
      <c r="H78" s="1" t="s">
        <v>17</v>
      </c>
      <c r="I78" s="3">
        <v>45315.089837962965</v>
      </c>
      <c r="J78" s="3">
        <v>45384.03155092592</v>
      </c>
      <c r="K78" s="4">
        <v>45317.0</v>
      </c>
      <c r="L78" s="1" t="s">
        <v>18</v>
      </c>
    </row>
    <row r="79">
      <c r="A79" s="1" t="s">
        <v>12</v>
      </c>
      <c r="B79" s="2" t="str">
        <f>HYPERLINK("https://bihardware.atlassian.net/browse/EMBEDDED-361?atlOrigin=eyJpIjoiYzgwYTQ0ZjEyNzQzNGJhN2JmNjEyZTM0NmRhZWZhNjIiLCJwIjoic2hlZXRzLWppcmEifQ","EMBEDDED-361")</f>
        <v>EMBEDDED-361</v>
      </c>
      <c r="C79" s="1" t="s">
        <v>94</v>
      </c>
      <c r="D79" s="1" t="s">
        <v>14</v>
      </c>
      <c r="E79" s="1" t="s">
        <v>15</v>
      </c>
      <c r="F79" s="1" t="s">
        <v>16</v>
      </c>
      <c r="G79" s="1" t="s">
        <v>17</v>
      </c>
      <c r="H79" s="1" t="s">
        <v>17</v>
      </c>
      <c r="I79" s="3">
        <v>45316.07059027778</v>
      </c>
      <c r="J79" s="3">
        <v>45349.099490740744</v>
      </c>
      <c r="K79" s="4">
        <v>45318.0</v>
      </c>
      <c r="L79" s="1" t="s">
        <v>18</v>
      </c>
    </row>
    <row r="80">
      <c r="A80" s="1" t="s">
        <v>12</v>
      </c>
      <c r="B80" s="2" t="str">
        <f>HYPERLINK("https://bihardware.atlassian.net/browse/EMBEDDED-362?atlOrigin=eyJpIjoiYzgwYTQ0ZjEyNzQzNGJhN2JmNjEyZTM0NmRhZWZhNjIiLCJwIjoic2hlZXRzLWppcmEifQ","EMBEDDED-362")</f>
        <v>EMBEDDED-362</v>
      </c>
      <c r="C80" s="1" t="s">
        <v>95</v>
      </c>
      <c r="D80" s="1" t="s">
        <v>14</v>
      </c>
      <c r="E80" s="1" t="s">
        <v>15</v>
      </c>
      <c r="F80" s="1" t="s">
        <v>16</v>
      </c>
      <c r="G80" s="1" t="s">
        <v>17</v>
      </c>
      <c r="H80" s="1" t="s">
        <v>17</v>
      </c>
      <c r="I80" s="3">
        <v>45322.25256944444</v>
      </c>
      <c r="J80" s="3">
        <v>45349.10152777778</v>
      </c>
      <c r="K80" s="4">
        <v>45325.0</v>
      </c>
      <c r="L80" s="1" t="s">
        <v>18</v>
      </c>
    </row>
    <row r="81">
      <c r="A81" s="1" t="s">
        <v>12</v>
      </c>
      <c r="B81" s="2" t="str">
        <f>HYPERLINK("https://bihardware.atlassian.net/browse/EMBEDDED-363?atlOrigin=eyJpIjoiYzgwYTQ0ZjEyNzQzNGJhN2JmNjEyZTM0NmRhZWZhNjIiLCJwIjoic2hlZXRzLWppcmEifQ","EMBEDDED-363")</f>
        <v>EMBEDDED-363</v>
      </c>
      <c r="C81" s="1" t="s">
        <v>96</v>
      </c>
      <c r="D81" s="1" t="s">
        <v>14</v>
      </c>
      <c r="E81" s="1" t="s">
        <v>15</v>
      </c>
      <c r="F81" s="1" t="s">
        <v>16</v>
      </c>
      <c r="G81" s="1" t="s">
        <v>17</v>
      </c>
      <c r="H81" s="1" t="s">
        <v>17</v>
      </c>
      <c r="I81" s="3">
        <v>45322.26828703703</v>
      </c>
      <c r="J81" s="3">
        <v>45349.10524305556</v>
      </c>
      <c r="K81" s="4">
        <v>45325.0</v>
      </c>
      <c r="L81" s="1" t="s">
        <v>18</v>
      </c>
    </row>
    <row r="82">
      <c r="A82" s="1" t="s">
        <v>12</v>
      </c>
      <c r="B82" s="2" t="str">
        <f>HYPERLINK("https://bihardware.atlassian.net/browse/EMBEDDED-364?atlOrigin=eyJpIjoiYzgwYTQ0ZjEyNzQzNGJhN2JmNjEyZTM0NmRhZWZhNjIiLCJwIjoic2hlZXRzLWppcmEifQ","EMBEDDED-364")</f>
        <v>EMBEDDED-364</v>
      </c>
      <c r="C82" s="1" t="s">
        <v>97</v>
      </c>
      <c r="D82" s="1" t="s">
        <v>14</v>
      </c>
      <c r="E82" s="1" t="s">
        <v>15</v>
      </c>
      <c r="F82" s="1" t="s">
        <v>16</v>
      </c>
      <c r="G82" s="1" t="s">
        <v>17</v>
      </c>
      <c r="H82" s="1" t="s">
        <v>17</v>
      </c>
      <c r="I82" s="3">
        <v>45322.27798611111</v>
      </c>
      <c r="J82" s="3">
        <v>45349.10744212963</v>
      </c>
      <c r="K82" s="4">
        <v>45325.0</v>
      </c>
      <c r="L82" s="1" t="s">
        <v>18</v>
      </c>
    </row>
    <row r="83">
      <c r="A83" s="1" t="s">
        <v>12</v>
      </c>
      <c r="B83" s="2" t="str">
        <f>HYPERLINK("https://bihardware.atlassian.net/browse/EMBEDDED-365?atlOrigin=eyJpIjoiYzgwYTQ0ZjEyNzQzNGJhN2JmNjEyZTM0NmRhZWZhNjIiLCJwIjoic2hlZXRzLWppcmEifQ","EMBEDDED-365")</f>
        <v>EMBEDDED-365</v>
      </c>
      <c r="C83" s="1" t="s">
        <v>98</v>
      </c>
      <c r="D83" s="1" t="s">
        <v>14</v>
      </c>
      <c r="E83" s="1" t="s">
        <v>15</v>
      </c>
      <c r="F83" s="1" t="s">
        <v>16</v>
      </c>
      <c r="G83" s="1" t="s">
        <v>17</v>
      </c>
      <c r="H83" s="1" t="s">
        <v>17</v>
      </c>
      <c r="I83" s="3">
        <v>45322.282222222224</v>
      </c>
      <c r="J83" s="3">
        <v>45383.108298611114</v>
      </c>
      <c r="K83" s="4">
        <v>45325.0</v>
      </c>
      <c r="L83" s="1" t="s">
        <v>18</v>
      </c>
    </row>
    <row r="84">
      <c r="A84" s="1" t="s">
        <v>12</v>
      </c>
      <c r="B84" s="2" t="str">
        <f>HYPERLINK("https://bihardware.atlassian.net/browse/EMBEDDED-369?atlOrigin=eyJpIjoiYzgwYTQ0ZjEyNzQzNGJhN2JmNjEyZTM0NmRhZWZhNjIiLCJwIjoic2hlZXRzLWppcmEifQ","EMBEDDED-369")</f>
        <v>EMBEDDED-369</v>
      </c>
      <c r="C84" s="1" t="s">
        <v>99</v>
      </c>
      <c r="D84" s="1" t="s">
        <v>14</v>
      </c>
      <c r="E84" s="1" t="s">
        <v>15</v>
      </c>
      <c r="F84" s="1" t="s">
        <v>16</v>
      </c>
      <c r="G84" s="1" t="s">
        <v>17</v>
      </c>
      <c r="H84" s="1" t="s">
        <v>17</v>
      </c>
      <c r="I84" s="3">
        <v>45324.96775462963</v>
      </c>
      <c r="J84" s="3">
        <v>45391.990277777775</v>
      </c>
      <c r="K84" s="4">
        <v>45332.0</v>
      </c>
      <c r="L84" s="1" t="s">
        <v>18</v>
      </c>
    </row>
    <row r="85">
      <c r="A85" s="1" t="s">
        <v>12</v>
      </c>
      <c r="B85" s="2" t="str">
        <f>HYPERLINK("https://bihardware.atlassian.net/browse/EMBEDDED-370?atlOrigin=eyJpIjoiYzgwYTQ0ZjEyNzQzNGJhN2JmNjEyZTM0NmRhZWZhNjIiLCJwIjoic2hlZXRzLWppcmEifQ","EMBEDDED-370")</f>
        <v>EMBEDDED-370</v>
      </c>
      <c r="C85" s="1" t="s">
        <v>100</v>
      </c>
      <c r="D85" s="1" t="s">
        <v>14</v>
      </c>
      <c r="E85" s="1" t="s">
        <v>15</v>
      </c>
      <c r="F85" s="1" t="s">
        <v>16</v>
      </c>
      <c r="G85" s="1" t="s">
        <v>17</v>
      </c>
      <c r="H85" s="1" t="s">
        <v>17</v>
      </c>
      <c r="I85" s="3">
        <v>45325.08760416666</v>
      </c>
      <c r="J85" s="3">
        <v>45383.10990740741</v>
      </c>
      <c r="K85" s="4">
        <v>45332.0</v>
      </c>
      <c r="L85" s="1" t="s">
        <v>18</v>
      </c>
    </row>
    <row r="86">
      <c r="A86" s="1" t="s">
        <v>12</v>
      </c>
      <c r="B86" s="2" t="str">
        <f>HYPERLINK("https://bihardware.atlassian.net/browse/EMBEDDED-380?atlOrigin=eyJpIjoiYzgwYTQ0ZjEyNzQzNGJhN2JmNjEyZTM0NmRhZWZhNjIiLCJwIjoic2hlZXRzLWppcmEifQ","EMBEDDED-380")</f>
        <v>EMBEDDED-380</v>
      </c>
      <c r="C86" s="1" t="s">
        <v>101</v>
      </c>
      <c r="D86" s="1" t="s">
        <v>14</v>
      </c>
      <c r="E86" s="1" t="s">
        <v>15</v>
      </c>
      <c r="F86" s="1" t="s">
        <v>16</v>
      </c>
      <c r="G86" s="1" t="s">
        <v>17</v>
      </c>
      <c r="H86" s="1" t="s">
        <v>17</v>
      </c>
      <c r="I86" s="3">
        <v>45329.11924768519</v>
      </c>
      <c r="J86" s="3">
        <v>45457.94835648148</v>
      </c>
      <c r="K86" s="4">
        <v>45332.0</v>
      </c>
      <c r="L86" s="1" t="s">
        <v>18</v>
      </c>
    </row>
    <row r="87">
      <c r="A87" s="1" t="s">
        <v>12</v>
      </c>
      <c r="B87" s="2" t="str">
        <f>HYPERLINK("https://bihardware.atlassian.net/browse/EMBEDDED-535?atlOrigin=eyJpIjoiYzgwYTQ0ZjEyNzQzNGJhN2JmNjEyZTM0NmRhZWZhNjIiLCJwIjoic2hlZXRzLWppcmEifQ","EMBEDDED-535")</f>
        <v>EMBEDDED-535</v>
      </c>
      <c r="C87" s="1" t="s">
        <v>102</v>
      </c>
      <c r="D87" s="1" t="s">
        <v>14</v>
      </c>
      <c r="E87" s="1" t="s">
        <v>15</v>
      </c>
      <c r="F87" s="1" t="s">
        <v>16</v>
      </c>
      <c r="G87" s="1" t="s">
        <v>17</v>
      </c>
      <c r="H87" s="1" t="s">
        <v>17</v>
      </c>
      <c r="I87" s="3">
        <v>45337.243101851855</v>
      </c>
      <c r="J87" s="3">
        <v>45457.94834490741</v>
      </c>
      <c r="K87" s="4">
        <v>45346.0</v>
      </c>
      <c r="L87" s="1" t="s">
        <v>18</v>
      </c>
    </row>
    <row r="88">
      <c r="A88" s="1" t="s">
        <v>12</v>
      </c>
      <c r="B88" s="2" t="str">
        <f>HYPERLINK("https://bihardware.atlassian.net/browse/EMBEDDED-547?atlOrigin=eyJpIjoiYzgwYTQ0ZjEyNzQzNGJhN2JmNjEyZTM0NmRhZWZhNjIiLCJwIjoic2hlZXRzLWppcmEifQ","EMBEDDED-547")</f>
        <v>EMBEDDED-547</v>
      </c>
      <c r="C88" s="1" t="s">
        <v>103</v>
      </c>
      <c r="D88" s="1" t="s">
        <v>14</v>
      </c>
      <c r="E88" s="1" t="s">
        <v>15</v>
      </c>
      <c r="F88" s="1" t="s">
        <v>16</v>
      </c>
      <c r="G88" s="1" t="s">
        <v>17</v>
      </c>
      <c r="H88" s="1" t="s">
        <v>17</v>
      </c>
      <c r="I88" s="3">
        <v>45338.18311342593</v>
      </c>
      <c r="J88" s="3">
        <v>45457.9483912037</v>
      </c>
      <c r="K88" s="4">
        <v>45346.0</v>
      </c>
      <c r="L88" s="1" t="s">
        <v>18</v>
      </c>
    </row>
    <row r="89">
      <c r="A89" s="1" t="s">
        <v>12</v>
      </c>
      <c r="B89" s="2" t="str">
        <f>HYPERLINK("https://bihardware.atlassian.net/browse/EMBEDDED-550?atlOrigin=eyJpIjoiYzgwYTQ0ZjEyNzQzNGJhN2JmNjEyZTM0NmRhZWZhNjIiLCJwIjoic2hlZXRzLWppcmEifQ","EMBEDDED-550")</f>
        <v>EMBEDDED-550</v>
      </c>
      <c r="C89" s="1" t="s">
        <v>65</v>
      </c>
      <c r="D89" s="1" t="s">
        <v>14</v>
      </c>
      <c r="E89" s="1" t="s">
        <v>15</v>
      </c>
      <c r="F89" s="1" t="s">
        <v>16</v>
      </c>
      <c r="G89" s="1" t="s">
        <v>17</v>
      </c>
      <c r="H89" s="1" t="s">
        <v>17</v>
      </c>
      <c r="I89" s="3">
        <v>45339.19335648148</v>
      </c>
      <c r="J89" s="3">
        <v>45391.99013888889</v>
      </c>
      <c r="K89" s="4">
        <v>45346.0</v>
      </c>
      <c r="L89" s="1" t="s">
        <v>18</v>
      </c>
    </row>
    <row r="90">
      <c r="A90" s="1" t="s">
        <v>12</v>
      </c>
      <c r="B90" s="2" t="str">
        <f>HYPERLINK("https://bihardware.atlassian.net/browse/EMBEDDED-590?atlOrigin=eyJpIjoiYzgwYTQ0ZjEyNzQzNGJhN2JmNjEyZTM0NmRhZWZhNjIiLCJwIjoic2hlZXRzLWppcmEifQ","EMBEDDED-590")</f>
        <v>EMBEDDED-590</v>
      </c>
      <c r="C90" s="1" t="s">
        <v>104</v>
      </c>
      <c r="D90" s="1" t="s">
        <v>14</v>
      </c>
      <c r="E90" s="1" t="s">
        <v>15</v>
      </c>
      <c r="F90" s="1" t="s">
        <v>16</v>
      </c>
      <c r="G90" s="1" t="s">
        <v>17</v>
      </c>
      <c r="H90" s="1" t="s">
        <v>17</v>
      </c>
      <c r="I90" s="3">
        <v>45348.09474537037</v>
      </c>
      <c r="J90" s="3">
        <v>45391.991006944445</v>
      </c>
      <c r="K90" s="4">
        <v>45353.0</v>
      </c>
      <c r="L90" s="1" t="s">
        <v>18</v>
      </c>
    </row>
    <row r="91">
      <c r="A91" s="1" t="s">
        <v>12</v>
      </c>
      <c r="B91" s="2" t="str">
        <f>HYPERLINK("https://bihardware.atlassian.net/browse/EMBEDDED-653?atlOrigin=eyJpIjoiYzgwYTQ0ZjEyNzQzNGJhN2JmNjEyZTM0NmRhZWZhNjIiLCJwIjoic2hlZXRzLWppcmEifQ","EMBEDDED-653")</f>
        <v>EMBEDDED-653</v>
      </c>
      <c r="C91" s="1" t="s">
        <v>105</v>
      </c>
      <c r="D91" s="1" t="s">
        <v>14</v>
      </c>
      <c r="E91" s="1" t="s">
        <v>15</v>
      </c>
      <c r="F91" s="1" t="s">
        <v>16</v>
      </c>
      <c r="G91" s="1" t="s">
        <v>17</v>
      </c>
      <c r="H91" s="1" t="s">
        <v>17</v>
      </c>
      <c r="I91" s="3">
        <v>45372.19125</v>
      </c>
      <c r="J91" s="3">
        <v>45457.94863425926</v>
      </c>
      <c r="K91" s="4">
        <v>45379.0</v>
      </c>
      <c r="L91" s="1" t="s">
        <v>18</v>
      </c>
    </row>
    <row r="92">
      <c r="A92" s="1" t="s">
        <v>12</v>
      </c>
      <c r="B92" s="2" t="str">
        <f>HYPERLINK("https://bihardware.atlassian.net/browse/EMBEDDED-660?atlOrigin=eyJpIjoiYzgwYTQ0ZjEyNzQzNGJhN2JmNjEyZTM0NmRhZWZhNjIiLCJwIjoic2hlZXRzLWppcmEifQ","EMBEDDED-660")</f>
        <v>EMBEDDED-660</v>
      </c>
      <c r="C92" s="1" t="s">
        <v>106</v>
      </c>
      <c r="D92" s="1" t="s">
        <v>14</v>
      </c>
      <c r="E92" s="1" t="s">
        <v>15</v>
      </c>
      <c r="F92" s="1" t="s">
        <v>16</v>
      </c>
      <c r="G92" s="1" t="s">
        <v>17</v>
      </c>
      <c r="H92" s="1" t="s">
        <v>17</v>
      </c>
      <c r="I92" s="3">
        <v>45376.072488425925</v>
      </c>
      <c r="J92" s="3">
        <v>45457.94835648148</v>
      </c>
      <c r="K92" s="4">
        <v>45383.0</v>
      </c>
      <c r="L92" s="1" t="s">
        <v>18</v>
      </c>
    </row>
    <row r="93">
      <c r="A93" s="1" t="s">
        <v>12</v>
      </c>
      <c r="B93" s="2" t="str">
        <f>HYPERLINK("https://bihardware.atlassian.net/browse/EMBEDDED-661?atlOrigin=eyJpIjoiYzgwYTQ0ZjEyNzQzNGJhN2JmNjEyZTM0NmRhZWZhNjIiLCJwIjoic2hlZXRzLWppcmEifQ","EMBEDDED-661")</f>
        <v>EMBEDDED-661</v>
      </c>
      <c r="C93" s="1" t="s">
        <v>107</v>
      </c>
      <c r="D93" s="1" t="s">
        <v>14</v>
      </c>
      <c r="E93" s="1" t="s">
        <v>15</v>
      </c>
      <c r="F93" s="1" t="s">
        <v>16</v>
      </c>
      <c r="G93" s="1" t="s">
        <v>17</v>
      </c>
      <c r="H93" s="1" t="s">
        <v>17</v>
      </c>
      <c r="I93" s="3">
        <v>45376.216770833336</v>
      </c>
      <c r="J93" s="3">
        <v>45457.94835648148</v>
      </c>
      <c r="K93" s="4">
        <v>45383.0</v>
      </c>
      <c r="L93" s="1" t="s">
        <v>18</v>
      </c>
    </row>
    <row r="94">
      <c r="A94" s="1" t="s">
        <v>12</v>
      </c>
      <c r="B94" s="2" t="str">
        <f>HYPERLINK("https://bihardware.atlassian.net/browse/EMBEDDED-662?atlOrigin=eyJpIjoiYzgwYTQ0ZjEyNzQzNGJhN2JmNjEyZTM0NmRhZWZhNjIiLCJwIjoic2hlZXRzLWppcmEifQ","EMBEDDED-662")</f>
        <v>EMBEDDED-662</v>
      </c>
      <c r="C94" s="1" t="s">
        <v>108</v>
      </c>
      <c r="D94" s="1" t="s">
        <v>14</v>
      </c>
      <c r="E94" s="1" t="s">
        <v>15</v>
      </c>
      <c r="F94" s="1" t="s">
        <v>16</v>
      </c>
      <c r="G94" s="1" t="s">
        <v>17</v>
      </c>
      <c r="H94" s="1" t="s">
        <v>17</v>
      </c>
      <c r="I94" s="3">
        <v>45376.93651620371</v>
      </c>
      <c r="J94" s="3">
        <v>45457.94834490741</v>
      </c>
      <c r="K94" s="4">
        <v>45384.0</v>
      </c>
      <c r="L94" s="1" t="s">
        <v>18</v>
      </c>
    </row>
    <row r="95">
      <c r="A95" s="1" t="s">
        <v>12</v>
      </c>
      <c r="B95" s="2" t="str">
        <f>HYPERLINK("https://bihardware.atlassian.net/browse/EMBEDDED-663?atlOrigin=eyJpIjoiYzgwYTQ0ZjEyNzQzNGJhN2JmNjEyZTM0NmRhZWZhNjIiLCJwIjoic2hlZXRzLWppcmEifQ","EMBEDDED-663")</f>
        <v>EMBEDDED-663</v>
      </c>
      <c r="C95" s="1" t="s">
        <v>109</v>
      </c>
      <c r="D95" s="1" t="s">
        <v>14</v>
      </c>
      <c r="E95" s="1" t="s">
        <v>15</v>
      </c>
      <c r="F95" s="1" t="s">
        <v>16</v>
      </c>
      <c r="G95" s="1" t="s">
        <v>17</v>
      </c>
      <c r="H95" s="1" t="s">
        <v>17</v>
      </c>
      <c r="I95" s="3">
        <v>45377.93601851852</v>
      </c>
      <c r="J95" s="3">
        <v>45377.966770833336</v>
      </c>
      <c r="K95" s="4">
        <v>45385.0</v>
      </c>
      <c r="L95" s="1" t="s">
        <v>18</v>
      </c>
    </row>
    <row r="96">
      <c r="A96" s="1" t="s">
        <v>12</v>
      </c>
      <c r="B96" s="2" t="str">
        <f>HYPERLINK("https://bihardware.atlassian.net/browse/EMBEDDED-664?atlOrigin=eyJpIjoiYzgwYTQ0ZjEyNzQzNGJhN2JmNjEyZTM0NmRhZWZhNjIiLCJwIjoic2hlZXRzLWppcmEifQ","EMBEDDED-664")</f>
        <v>EMBEDDED-664</v>
      </c>
      <c r="C96" s="1" t="s">
        <v>110</v>
      </c>
      <c r="D96" s="1" t="s">
        <v>14</v>
      </c>
      <c r="E96" s="1" t="s">
        <v>15</v>
      </c>
      <c r="F96" s="1" t="s">
        <v>16</v>
      </c>
      <c r="G96" s="1" t="s">
        <v>17</v>
      </c>
      <c r="H96" s="1" t="s">
        <v>17</v>
      </c>
      <c r="I96" s="3">
        <v>45377.97689814815</v>
      </c>
      <c r="J96" s="3">
        <v>45457.948333333334</v>
      </c>
      <c r="K96" s="4">
        <v>45385.0</v>
      </c>
      <c r="L96" s="1" t="s">
        <v>18</v>
      </c>
    </row>
    <row r="97">
      <c r="A97" s="1" t="s">
        <v>12</v>
      </c>
      <c r="B97" s="2" t="str">
        <f>HYPERLINK("https://bihardware.atlassian.net/browse/EMBEDDED-665?atlOrigin=eyJpIjoiYzgwYTQ0ZjEyNzQzNGJhN2JmNjEyZTM0NmRhZWZhNjIiLCJwIjoic2hlZXRzLWppcmEifQ","EMBEDDED-665")</f>
        <v>EMBEDDED-665</v>
      </c>
      <c r="C97" s="1" t="s">
        <v>111</v>
      </c>
      <c r="D97" s="1" t="s">
        <v>14</v>
      </c>
      <c r="E97" s="1" t="s">
        <v>15</v>
      </c>
      <c r="F97" s="1" t="s">
        <v>16</v>
      </c>
      <c r="G97" s="1" t="s">
        <v>17</v>
      </c>
      <c r="H97" s="1" t="s">
        <v>17</v>
      </c>
      <c r="I97" s="3">
        <v>45382.96501157407</v>
      </c>
      <c r="J97" s="3">
        <v>45457.94840277778</v>
      </c>
      <c r="K97" s="4">
        <v>45390.0</v>
      </c>
      <c r="L97" s="1" t="s">
        <v>18</v>
      </c>
    </row>
    <row r="98">
      <c r="A98" s="1" t="s">
        <v>12</v>
      </c>
      <c r="B98" s="2" t="str">
        <f>HYPERLINK("https://bihardware.atlassian.net/browse/EMBEDDED-666?atlOrigin=eyJpIjoiYzgwYTQ0ZjEyNzQzNGJhN2JmNjEyZTM0NmRhZWZhNjIiLCJwIjoic2hlZXRzLWppcmEifQ","EMBEDDED-666")</f>
        <v>EMBEDDED-666</v>
      </c>
      <c r="C98" s="1" t="s">
        <v>112</v>
      </c>
      <c r="D98" s="1" t="s">
        <v>14</v>
      </c>
      <c r="E98" s="1" t="s">
        <v>15</v>
      </c>
      <c r="F98" s="1" t="s">
        <v>16</v>
      </c>
      <c r="G98" s="1" t="s">
        <v>17</v>
      </c>
      <c r="H98" s="1" t="s">
        <v>17</v>
      </c>
      <c r="I98" s="3">
        <v>45384.03474537037</v>
      </c>
      <c r="J98" s="3">
        <v>45391.99314814815</v>
      </c>
      <c r="K98" s="4">
        <v>45391.0</v>
      </c>
      <c r="L98" s="1" t="s">
        <v>18</v>
      </c>
    </row>
    <row r="99">
      <c r="A99" s="1" t="s">
        <v>12</v>
      </c>
      <c r="B99" s="2" t="str">
        <f>HYPERLINK("https://bihardware.atlassian.net/browse/EMBEDDED-670?atlOrigin=eyJpIjoiYzgwYTQ0ZjEyNzQzNGJhN2JmNjEyZTM0NmRhZWZhNjIiLCJwIjoic2hlZXRzLWppcmEifQ","EMBEDDED-670")</f>
        <v>EMBEDDED-670</v>
      </c>
      <c r="C99" s="1" t="s">
        <v>113</v>
      </c>
      <c r="D99" s="1" t="s">
        <v>14</v>
      </c>
      <c r="E99" s="1" t="s">
        <v>15</v>
      </c>
      <c r="F99" s="1" t="s">
        <v>16</v>
      </c>
      <c r="G99" s="1" t="s">
        <v>17</v>
      </c>
      <c r="H99" s="1" t="s">
        <v>17</v>
      </c>
      <c r="I99" s="3">
        <v>45384.107824074075</v>
      </c>
      <c r="J99" s="3">
        <v>45457.94841435185</v>
      </c>
      <c r="K99" s="4">
        <v>45391.0</v>
      </c>
      <c r="L99" s="1" t="s">
        <v>18</v>
      </c>
    </row>
    <row r="100">
      <c r="A100" s="1" t="s">
        <v>12</v>
      </c>
      <c r="B100" s="2" t="str">
        <f>HYPERLINK("https://bihardware.atlassian.net/browse/EMBEDDED-671?atlOrigin=eyJpIjoiYzgwYTQ0ZjEyNzQzNGJhN2JmNjEyZTM0NmRhZWZhNjIiLCJwIjoic2hlZXRzLWppcmEifQ","EMBEDDED-671")</f>
        <v>EMBEDDED-671</v>
      </c>
      <c r="C100" s="1" t="s">
        <v>114</v>
      </c>
      <c r="D100" s="1" t="s">
        <v>14</v>
      </c>
      <c r="E100" s="1" t="s">
        <v>15</v>
      </c>
      <c r="F100" s="1" t="s">
        <v>16</v>
      </c>
      <c r="G100" s="1" t="s">
        <v>17</v>
      </c>
      <c r="H100" s="1" t="s">
        <v>17</v>
      </c>
      <c r="I100" s="3">
        <v>45384.21026620371</v>
      </c>
      <c r="J100" s="3">
        <v>45457.94840277778</v>
      </c>
      <c r="K100" s="4">
        <v>45391.0</v>
      </c>
      <c r="L100" s="1" t="s">
        <v>18</v>
      </c>
    </row>
    <row r="101">
      <c r="A101" s="1" t="s">
        <v>12</v>
      </c>
      <c r="B101" s="2" t="str">
        <f>HYPERLINK("https://bihardware.atlassian.net/browse/EMBEDDED-672?atlOrigin=eyJpIjoiYzgwYTQ0ZjEyNzQzNGJhN2JmNjEyZTM0NmRhZWZhNjIiLCJwIjoic2hlZXRzLWppcmEifQ","EMBEDDED-672")</f>
        <v>EMBEDDED-672</v>
      </c>
      <c r="C101" s="1" t="s">
        <v>115</v>
      </c>
      <c r="D101" s="1" t="s">
        <v>14</v>
      </c>
      <c r="E101" s="1" t="s">
        <v>15</v>
      </c>
      <c r="F101" s="1" t="s">
        <v>16</v>
      </c>
      <c r="G101" s="1" t="s">
        <v>17</v>
      </c>
      <c r="H101" s="1" t="s">
        <v>17</v>
      </c>
      <c r="I101" s="3">
        <v>45384.223703703705</v>
      </c>
      <c r="J101" s="3">
        <v>45457.94841435185</v>
      </c>
      <c r="K101" s="4">
        <v>45391.0</v>
      </c>
      <c r="L101" s="1" t="s">
        <v>18</v>
      </c>
    </row>
    <row r="102">
      <c r="A102" s="1" t="s">
        <v>12</v>
      </c>
      <c r="B102" s="2" t="str">
        <f>HYPERLINK("https://bihardware.atlassian.net/browse/EMBEDDED-673?atlOrigin=eyJpIjoiYzgwYTQ0ZjEyNzQzNGJhN2JmNjEyZTM0NmRhZWZhNjIiLCJwIjoic2hlZXRzLWppcmEifQ","EMBEDDED-673")</f>
        <v>EMBEDDED-673</v>
      </c>
      <c r="C102" s="1" t="s">
        <v>116</v>
      </c>
      <c r="D102" s="1" t="s">
        <v>14</v>
      </c>
      <c r="E102" s="1" t="s">
        <v>15</v>
      </c>
      <c r="F102" s="1" t="s">
        <v>84</v>
      </c>
      <c r="G102" s="1" t="s">
        <v>17</v>
      </c>
      <c r="H102" s="1" t="s">
        <v>17</v>
      </c>
      <c r="I102" s="3">
        <v>45386.95079861111</v>
      </c>
      <c r="J102" s="3">
        <v>45457.9483912037</v>
      </c>
      <c r="K102" s="4">
        <v>45394.0</v>
      </c>
      <c r="L102" s="1" t="s">
        <v>18</v>
      </c>
    </row>
    <row r="103">
      <c r="A103" s="1" t="s">
        <v>12</v>
      </c>
      <c r="B103" s="2" t="str">
        <f>HYPERLINK("https://bihardware.atlassian.net/browse/EMBEDDED-675?atlOrigin=eyJpIjoiYzgwYTQ0ZjEyNzQzNGJhN2JmNjEyZTM0NmRhZWZhNjIiLCJwIjoic2hlZXRzLWppcmEifQ","EMBEDDED-675")</f>
        <v>EMBEDDED-675</v>
      </c>
      <c r="C103" s="1" t="s">
        <v>117</v>
      </c>
      <c r="D103" s="1" t="s">
        <v>14</v>
      </c>
      <c r="E103" s="1" t="s">
        <v>15</v>
      </c>
      <c r="F103" s="1" t="s">
        <v>84</v>
      </c>
      <c r="G103" s="1" t="s">
        <v>17</v>
      </c>
      <c r="H103" s="1" t="s">
        <v>17</v>
      </c>
      <c r="I103" s="3">
        <v>45387.02</v>
      </c>
      <c r="J103" s="3">
        <v>45457.94846064815</v>
      </c>
      <c r="K103" s="4">
        <v>45394.0</v>
      </c>
      <c r="L103" s="1" t="s">
        <v>18</v>
      </c>
    </row>
    <row r="104">
      <c r="A104" s="1" t="s">
        <v>12</v>
      </c>
      <c r="B104" s="2" t="str">
        <f>HYPERLINK("https://bihardware.atlassian.net/browse/EMBEDDED-676?atlOrigin=eyJpIjoiYzgwYTQ0ZjEyNzQzNGJhN2JmNjEyZTM0NmRhZWZhNjIiLCJwIjoic2hlZXRzLWppcmEifQ","EMBEDDED-676")</f>
        <v>EMBEDDED-676</v>
      </c>
      <c r="C104" s="1" t="s">
        <v>118</v>
      </c>
      <c r="D104" s="1" t="s">
        <v>14</v>
      </c>
      <c r="E104" s="1" t="s">
        <v>15</v>
      </c>
      <c r="F104" s="1" t="s">
        <v>84</v>
      </c>
      <c r="G104" s="1" t="s">
        <v>17</v>
      </c>
      <c r="H104" s="1" t="s">
        <v>17</v>
      </c>
      <c r="I104" s="3">
        <v>45387.064247685186</v>
      </c>
      <c r="J104" s="3">
        <v>45457.94844907407</v>
      </c>
      <c r="K104" s="4">
        <v>45394.0</v>
      </c>
      <c r="L104" s="1" t="s">
        <v>18</v>
      </c>
    </row>
    <row r="105">
      <c r="A105" s="1" t="s">
        <v>12</v>
      </c>
      <c r="B105" s="2" t="str">
        <f>HYPERLINK("https://bihardware.atlassian.net/browse/EMBEDDED-677?atlOrigin=eyJpIjoiYzgwYTQ0ZjEyNzQzNGJhN2JmNjEyZTM0NmRhZWZhNjIiLCJwIjoic2hlZXRzLWppcmEifQ","EMBEDDED-677")</f>
        <v>EMBEDDED-677</v>
      </c>
      <c r="C105" s="1" t="s">
        <v>119</v>
      </c>
      <c r="D105" s="1" t="s">
        <v>14</v>
      </c>
      <c r="E105" s="1" t="s">
        <v>15</v>
      </c>
      <c r="F105" s="1" t="s">
        <v>120</v>
      </c>
      <c r="G105" s="1" t="s">
        <v>17</v>
      </c>
      <c r="H105" s="1" t="s">
        <v>17</v>
      </c>
      <c r="I105" s="3">
        <v>45387.21175925926</v>
      </c>
      <c r="J105" s="3">
        <v>45409.18607638889</v>
      </c>
      <c r="K105" s="4">
        <v>45394.0</v>
      </c>
      <c r="L105" s="1" t="s">
        <v>18</v>
      </c>
    </row>
    <row r="106">
      <c r="A106" s="1" t="s">
        <v>12</v>
      </c>
      <c r="B106" s="2" t="str">
        <f>HYPERLINK("https://bihardware.atlassian.net/browse/EMBEDDED-678?atlOrigin=eyJpIjoiYzgwYTQ0ZjEyNzQzNGJhN2JmNjEyZTM0NmRhZWZhNjIiLCJwIjoic2hlZXRzLWppcmEifQ","EMBEDDED-678")</f>
        <v>EMBEDDED-678</v>
      </c>
      <c r="C106" s="1" t="s">
        <v>121</v>
      </c>
      <c r="D106" s="1" t="s">
        <v>14</v>
      </c>
      <c r="E106" s="1" t="s">
        <v>15</v>
      </c>
      <c r="F106" s="1" t="s">
        <v>16</v>
      </c>
      <c r="G106" s="1" t="s">
        <v>17</v>
      </c>
      <c r="H106" s="1" t="s">
        <v>17</v>
      </c>
      <c r="I106" s="3">
        <v>45387.22255787037</v>
      </c>
      <c r="J106" s="3">
        <v>45409.18619212963</v>
      </c>
      <c r="K106" s="4">
        <v>45394.0</v>
      </c>
      <c r="L106" s="1" t="s">
        <v>18</v>
      </c>
    </row>
    <row r="107">
      <c r="A107" s="1" t="s">
        <v>12</v>
      </c>
      <c r="B107" s="2" t="str">
        <f>HYPERLINK("https://bihardware.atlassian.net/browse/EMBEDDED-681?atlOrigin=eyJpIjoiYzgwYTQ0ZjEyNzQzNGJhN2JmNjEyZTM0NmRhZWZhNjIiLCJwIjoic2hlZXRzLWppcmEifQ","EMBEDDED-681")</f>
        <v>EMBEDDED-681</v>
      </c>
      <c r="C107" s="1" t="s">
        <v>122</v>
      </c>
      <c r="D107" s="1" t="s">
        <v>14</v>
      </c>
      <c r="E107" s="1" t="s">
        <v>15</v>
      </c>
      <c r="F107" s="1" t="s">
        <v>16</v>
      </c>
      <c r="G107" s="1" t="s">
        <v>17</v>
      </c>
      <c r="H107" s="1" t="s">
        <v>17</v>
      </c>
      <c r="I107" s="3">
        <v>45390.16504629629</v>
      </c>
      <c r="J107" s="3">
        <v>45409.18633101852</v>
      </c>
      <c r="K107" s="4">
        <v>45397.0</v>
      </c>
      <c r="L107" s="1" t="s">
        <v>18</v>
      </c>
    </row>
    <row r="108">
      <c r="A108" s="1" t="s">
        <v>12</v>
      </c>
      <c r="B108" s="2" t="str">
        <f>HYPERLINK("https://bihardware.atlassian.net/browse/EMBEDDED-682?atlOrigin=eyJpIjoiYzgwYTQ0ZjEyNzQzNGJhN2JmNjEyZTM0NmRhZWZhNjIiLCJwIjoic2hlZXRzLWppcmEifQ","EMBEDDED-682")</f>
        <v>EMBEDDED-682</v>
      </c>
      <c r="C108" s="1" t="s">
        <v>123</v>
      </c>
      <c r="D108" s="1" t="s">
        <v>14</v>
      </c>
      <c r="E108" s="1" t="s">
        <v>15</v>
      </c>
      <c r="F108" s="1" t="s">
        <v>16</v>
      </c>
      <c r="G108" s="1" t="s">
        <v>17</v>
      </c>
      <c r="H108" s="1" t="s">
        <v>17</v>
      </c>
      <c r="I108" s="3">
        <v>45390.17972222222</v>
      </c>
      <c r="J108" s="3">
        <v>45409.20261574074</v>
      </c>
      <c r="K108" s="4">
        <v>45397.0</v>
      </c>
      <c r="L108" s="1" t="s">
        <v>18</v>
      </c>
    </row>
    <row r="109">
      <c r="A109" s="1" t="s">
        <v>12</v>
      </c>
      <c r="B109" s="2" t="str">
        <f>HYPERLINK("https://bihardware.atlassian.net/browse/EMBEDDED-683?atlOrigin=eyJpIjoiYzgwYTQ0ZjEyNzQzNGJhN2JmNjEyZTM0NmRhZWZhNjIiLCJwIjoic2hlZXRzLWppcmEifQ","EMBEDDED-683")</f>
        <v>EMBEDDED-683</v>
      </c>
      <c r="C109" s="1" t="s">
        <v>124</v>
      </c>
      <c r="D109" s="1" t="s">
        <v>14</v>
      </c>
      <c r="E109" s="1" t="s">
        <v>15</v>
      </c>
      <c r="F109" s="1" t="s">
        <v>16</v>
      </c>
      <c r="G109" s="1" t="s">
        <v>17</v>
      </c>
      <c r="H109" s="1" t="s">
        <v>17</v>
      </c>
      <c r="I109" s="3">
        <v>45391.18314814815</v>
      </c>
      <c r="J109" s="3">
        <v>45409.18783564815</v>
      </c>
      <c r="K109" s="4">
        <v>45398.0</v>
      </c>
      <c r="L109" s="1" t="s">
        <v>18</v>
      </c>
    </row>
    <row r="110">
      <c r="A110" s="1" t="s">
        <v>12</v>
      </c>
      <c r="B110" s="2" t="str">
        <f>HYPERLINK("https://bihardware.atlassian.net/browse/EMBEDDED-687?atlOrigin=eyJpIjoiYzgwYTQ0ZjEyNzQzNGJhN2JmNjEyZTM0NmRhZWZhNjIiLCJwIjoic2hlZXRzLWppcmEifQ","EMBEDDED-687")</f>
        <v>EMBEDDED-687</v>
      </c>
      <c r="C110" s="1" t="s">
        <v>125</v>
      </c>
      <c r="D110" s="1" t="s">
        <v>14</v>
      </c>
      <c r="E110" s="1" t="s">
        <v>15</v>
      </c>
      <c r="F110" s="1" t="s">
        <v>16</v>
      </c>
      <c r="G110" s="1" t="s">
        <v>17</v>
      </c>
      <c r="H110" s="1" t="s">
        <v>17</v>
      </c>
      <c r="I110" s="3">
        <v>45392.133993055555</v>
      </c>
      <c r="J110" s="3">
        <v>45457.94847222222</v>
      </c>
      <c r="K110" s="4">
        <v>45399.0</v>
      </c>
      <c r="L110" s="1" t="s">
        <v>18</v>
      </c>
    </row>
    <row r="111">
      <c r="A111" s="1" t="s">
        <v>12</v>
      </c>
      <c r="B111" s="2" t="str">
        <f>HYPERLINK("https://bihardware.atlassian.net/browse/EMBEDDED-688?atlOrigin=eyJpIjoiYzgwYTQ0ZjEyNzQzNGJhN2JmNjEyZTM0NmRhZWZhNjIiLCJwIjoic2hlZXRzLWppcmEifQ","EMBEDDED-688")</f>
        <v>EMBEDDED-688</v>
      </c>
      <c r="C111" s="1" t="s">
        <v>126</v>
      </c>
      <c r="D111" s="1" t="s">
        <v>14</v>
      </c>
      <c r="E111" s="1" t="s">
        <v>15</v>
      </c>
      <c r="F111" s="1" t="s">
        <v>84</v>
      </c>
      <c r="G111" s="1" t="s">
        <v>17</v>
      </c>
      <c r="H111" s="1" t="s">
        <v>17</v>
      </c>
      <c r="I111" s="3">
        <v>45392.941087962965</v>
      </c>
      <c r="J111" s="3">
        <v>45457.94847222222</v>
      </c>
      <c r="K111" s="4">
        <v>45400.0</v>
      </c>
      <c r="L111" s="1" t="s">
        <v>18</v>
      </c>
    </row>
    <row r="112">
      <c r="A112" s="1" t="s">
        <v>12</v>
      </c>
      <c r="B112" s="2" t="str">
        <f>HYPERLINK("https://bihardware.atlassian.net/browse/EMBEDDED-690?atlOrigin=eyJpIjoiYzgwYTQ0ZjEyNzQzNGJhN2JmNjEyZTM0NmRhZWZhNjIiLCJwIjoic2hlZXRzLWppcmEifQ","EMBEDDED-690")</f>
        <v>EMBEDDED-690</v>
      </c>
      <c r="C112" s="1" t="s">
        <v>127</v>
      </c>
      <c r="D112" s="1" t="s">
        <v>14</v>
      </c>
      <c r="E112" s="1" t="s">
        <v>15</v>
      </c>
      <c r="F112" s="1" t="s">
        <v>16</v>
      </c>
      <c r="G112" s="1" t="s">
        <v>17</v>
      </c>
      <c r="H112" s="1" t="s">
        <v>17</v>
      </c>
      <c r="I112" s="3">
        <v>45393.02670138889</v>
      </c>
      <c r="J112" s="3">
        <v>45409.204189814816</v>
      </c>
      <c r="K112" s="4">
        <v>45400.0</v>
      </c>
      <c r="L112" s="1" t="s">
        <v>18</v>
      </c>
    </row>
    <row r="113">
      <c r="A113" s="1" t="s">
        <v>12</v>
      </c>
      <c r="B113" s="2" t="str">
        <f>HYPERLINK("https://bihardware.atlassian.net/browse/EMBEDDED-691?atlOrigin=eyJpIjoiYzgwYTQ0ZjEyNzQzNGJhN2JmNjEyZTM0NmRhZWZhNjIiLCJwIjoic2hlZXRzLWppcmEifQ","EMBEDDED-691")</f>
        <v>EMBEDDED-691</v>
      </c>
      <c r="C113" s="1" t="s">
        <v>128</v>
      </c>
      <c r="D113" s="1" t="s">
        <v>14</v>
      </c>
      <c r="E113" s="1" t="s">
        <v>15</v>
      </c>
      <c r="F113" s="1" t="s">
        <v>16</v>
      </c>
      <c r="G113" s="1" t="s">
        <v>17</v>
      </c>
      <c r="H113" s="1" t="s">
        <v>17</v>
      </c>
      <c r="I113" s="3">
        <v>45395.15697916667</v>
      </c>
      <c r="J113" s="3">
        <v>45457.948483796295</v>
      </c>
      <c r="K113" s="4">
        <v>45402.0</v>
      </c>
      <c r="L113" s="1" t="s">
        <v>18</v>
      </c>
    </row>
    <row r="114">
      <c r="A114" s="1" t="s">
        <v>12</v>
      </c>
      <c r="B114" s="2" t="str">
        <f>HYPERLINK("https://bihardware.atlassian.net/browse/EMBEDDED-692?atlOrigin=eyJpIjoiYzgwYTQ0ZjEyNzQzNGJhN2JmNjEyZTM0NmRhZWZhNjIiLCJwIjoic2hlZXRzLWppcmEifQ","EMBEDDED-692")</f>
        <v>EMBEDDED-692</v>
      </c>
      <c r="C114" s="1" t="s">
        <v>129</v>
      </c>
      <c r="D114" s="1" t="s">
        <v>14</v>
      </c>
      <c r="E114" s="1" t="s">
        <v>15</v>
      </c>
      <c r="F114" s="1" t="s">
        <v>16</v>
      </c>
      <c r="G114" s="1" t="s">
        <v>17</v>
      </c>
      <c r="H114" s="1" t="s">
        <v>17</v>
      </c>
      <c r="I114" s="3">
        <v>45397.10564814815</v>
      </c>
      <c r="J114" s="3">
        <v>45457.948483796295</v>
      </c>
      <c r="K114" s="4">
        <v>45404.0</v>
      </c>
      <c r="L114" s="1" t="s">
        <v>18</v>
      </c>
    </row>
    <row r="115">
      <c r="A115" s="1" t="s">
        <v>12</v>
      </c>
      <c r="B115" s="2" t="str">
        <f>HYPERLINK("https://bihardware.atlassian.net/browse/EMBEDDED-693?atlOrigin=eyJpIjoiYzgwYTQ0ZjEyNzQzNGJhN2JmNjEyZTM0NmRhZWZhNjIiLCJwIjoic2hlZXRzLWppcmEifQ","EMBEDDED-693")</f>
        <v>EMBEDDED-693</v>
      </c>
      <c r="C115" s="1" t="s">
        <v>130</v>
      </c>
      <c r="D115" s="1" t="s">
        <v>14</v>
      </c>
      <c r="E115" s="1" t="s">
        <v>15</v>
      </c>
      <c r="F115" s="1" t="s">
        <v>16</v>
      </c>
      <c r="G115" s="1" t="s">
        <v>17</v>
      </c>
      <c r="H115" s="1" t="s">
        <v>17</v>
      </c>
      <c r="I115" s="3">
        <v>45397.944375</v>
      </c>
      <c r="J115" s="3">
        <v>45457.94847222222</v>
      </c>
      <c r="K115" s="4">
        <v>45405.0</v>
      </c>
      <c r="L115" s="1" t="s">
        <v>18</v>
      </c>
    </row>
    <row r="116">
      <c r="A116" s="1" t="s">
        <v>12</v>
      </c>
      <c r="B116" s="2" t="str">
        <f>HYPERLINK("https://bihardware.atlassian.net/browse/EMBEDDED-694?atlOrigin=eyJpIjoiYzgwYTQ0ZjEyNzQzNGJhN2JmNjEyZTM0NmRhZWZhNjIiLCJwIjoic2hlZXRzLWppcmEifQ","EMBEDDED-694")</f>
        <v>EMBEDDED-694</v>
      </c>
      <c r="C116" s="1" t="s">
        <v>131</v>
      </c>
      <c r="D116" s="1" t="s">
        <v>14</v>
      </c>
      <c r="E116" s="1" t="s">
        <v>15</v>
      </c>
      <c r="F116" s="1" t="s">
        <v>16</v>
      </c>
      <c r="G116" s="1" t="s">
        <v>17</v>
      </c>
      <c r="H116" s="1" t="s">
        <v>17</v>
      </c>
      <c r="I116" s="3">
        <v>45398.98299768518</v>
      </c>
      <c r="J116" s="3">
        <v>45601.12021990741</v>
      </c>
      <c r="K116" s="4">
        <v>45406.0</v>
      </c>
      <c r="L116" s="1" t="s">
        <v>18</v>
      </c>
    </row>
    <row r="117">
      <c r="A117" s="1" t="s">
        <v>12</v>
      </c>
      <c r="B117" s="2" t="str">
        <f>HYPERLINK("https://bihardware.atlassian.net/browse/EMBEDDED-695?atlOrigin=eyJpIjoiYzgwYTQ0ZjEyNzQzNGJhN2JmNjEyZTM0NmRhZWZhNjIiLCJwIjoic2hlZXRzLWppcmEifQ","EMBEDDED-695")</f>
        <v>EMBEDDED-695</v>
      </c>
      <c r="C117" s="1" t="s">
        <v>132</v>
      </c>
      <c r="D117" s="1" t="s">
        <v>14</v>
      </c>
      <c r="E117" s="1" t="s">
        <v>15</v>
      </c>
      <c r="F117" s="1" t="s">
        <v>16</v>
      </c>
      <c r="G117" s="1" t="s">
        <v>17</v>
      </c>
      <c r="H117" s="1" t="s">
        <v>17</v>
      </c>
      <c r="I117" s="3">
        <v>45399.207233796296</v>
      </c>
      <c r="J117" s="3">
        <v>45457.948530092595</v>
      </c>
      <c r="K117" s="4">
        <v>45406.0</v>
      </c>
      <c r="L117" s="1" t="s">
        <v>18</v>
      </c>
    </row>
    <row r="118">
      <c r="A118" s="1" t="s">
        <v>12</v>
      </c>
      <c r="B118" s="2" t="str">
        <f>HYPERLINK("https://bihardware.atlassian.net/browse/EMBEDDED-698?atlOrigin=eyJpIjoiYzgwYTQ0ZjEyNzQzNGJhN2JmNjEyZTM0NmRhZWZhNjIiLCJwIjoic2hlZXRzLWppcmEifQ","EMBEDDED-698")</f>
        <v>EMBEDDED-698</v>
      </c>
      <c r="C118" s="1" t="s">
        <v>133</v>
      </c>
      <c r="D118" s="1" t="s">
        <v>14</v>
      </c>
      <c r="E118" s="1" t="s">
        <v>15</v>
      </c>
      <c r="F118" s="1" t="s">
        <v>16</v>
      </c>
      <c r="G118" s="1" t="s">
        <v>17</v>
      </c>
      <c r="H118" s="1" t="s">
        <v>17</v>
      </c>
      <c r="I118" s="3">
        <v>45405.18310185185</v>
      </c>
      <c r="J118" s="3">
        <v>45457.94850694444</v>
      </c>
      <c r="K118" s="4">
        <v>45412.0</v>
      </c>
      <c r="L118" s="1" t="s">
        <v>18</v>
      </c>
    </row>
    <row r="119">
      <c r="A119" s="1" t="s">
        <v>12</v>
      </c>
      <c r="B119" s="2" t="str">
        <f>HYPERLINK("https://bihardware.atlassian.net/browse/EMBEDDED-703?atlOrigin=eyJpIjoiYzgwYTQ0ZjEyNzQzNGJhN2JmNjEyZTM0NmRhZWZhNjIiLCJwIjoic2hlZXRzLWppcmEifQ","EMBEDDED-703")</f>
        <v>EMBEDDED-703</v>
      </c>
      <c r="C119" s="1" t="s">
        <v>134</v>
      </c>
      <c r="D119" s="1" t="s">
        <v>14</v>
      </c>
      <c r="E119" s="1" t="s">
        <v>15</v>
      </c>
      <c r="F119" s="1" t="s">
        <v>16</v>
      </c>
      <c r="G119" s="1" t="s">
        <v>17</v>
      </c>
      <c r="H119" s="1" t="s">
        <v>17</v>
      </c>
      <c r="I119" s="3">
        <v>45405.21990740741</v>
      </c>
      <c r="J119" s="3">
        <v>45457.948530092595</v>
      </c>
      <c r="K119" s="4">
        <v>45412.0</v>
      </c>
      <c r="L119" s="1" t="s">
        <v>18</v>
      </c>
    </row>
    <row r="120">
      <c r="A120" s="1" t="s">
        <v>12</v>
      </c>
      <c r="B120" s="2" t="str">
        <f>HYPERLINK("https://bihardware.atlassian.net/browse/EMBEDDED-711?atlOrigin=eyJpIjoiYzgwYTQ0ZjEyNzQzNGJhN2JmNjEyZTM0NmRhZWZhNjIiLCJwIjoic2hlZXRzLWppcmEifQ","EMBEDDED-711")</f>
        <v>EMBEDDED-711</v>
      </c>
      <c r="C120" s="1" t="s">
        <v>135</v>
      </c>
      <c r="D120" s="1" t="s">
        <v>14</v>
      </c>
      <c r="E120" s="1" t="s">
        <v>15</v>
      </c>
      <c r="F120" s="1" t="s">
        <v>16</v>
      </c>
      <c r="G120" s="1" t="s">
        <v>17</v>
      </c>
      <c r="H120" s="1" t="s">
        <v>17</v>
      </c>
      <c r="I120" s="3">
        <v>45407.23113425926</v>
      </c>
      <c r="J120" s="3">
        <v>45457.948541666665</v>
      </c>
      <c r="K120" s="4">
        <v>45414.0</v>
      </c>
      <c r="L120" s="1" t="s">
        <v>18</v>
      </c>
    </row>
    <row r="121">
      <c r="A121" s="1" t="s">
        <v>12</v>
      </c>
      <c r="B121" s="2" t="str">
        <f>HYPERLINK("https://bihardware.atlassian.net/browse/EMBEDDED-715?atlOrigin=eyJpIjoiYzgwYTQ0ZjEyNzQzNGJhN2JmNjEyZTM0NmRhZWZhNjIiLCJwIjoic2hlZXRzLWppcmEifQ","EMBEDDED-715")</f>
        <v>EMBEDDED-715</v>
      </c>
      <c r="C121" s="1" t="s">
        <v>136</v>
      </c>
      <c r="D121" s="1" t="s">
        <v>14</v>
      </c>
      <c r="E121" s="1" t="s">
        <v>15</v>
      </c>
      <c r="F121" s="1" t="s">
        <v>16</v>
      </c>
      <c r="G121" s="1" t="s">
        <v>17</v>
      </c>
      <c r="H121" s="1" t="s">
        <v>17</v>
      </c>
      <c r="I121" s="3">
        <v>45411.154375</v>
      </c>
      <c r="J121" s="3">
        <v>45457.94844907407</v>
      </c>
      <c r="K121" s="4">
        <v>45419.0</v>
      </c>
      <c r="L121" s="1" t="s">
        <v>18</v>
      </c>
    </row>
    <row r="122">
      <c r="A122" s="1" t="s">
        <v>12</v>
      </c>
      <c r="B122" s="2" t="str">
        <f>HYPERLINK("https://bihardware.atlassian.net/browse/EMBEDDED-717?atlOrigin=eyJpIjoiYzgwYTQ0ZjEyNzQzNGJhN2JmNjEyZTM0NmRhZWZhNjIiLCJwIjoic2hlZXRzLWppcmEifQ","EMBEDDED-717")</f>
        <v>EMBEDDED-717</v>
      </c>
      <c r="C122" s="1" t="s">
        <v>137</v>
      </c>
      <c r="D122" s="1" t="s">
        <v>14</v>
      </c>
      <c r="E122" s="1" t="s">
        <v>15</v>
      </c>
      <c r="F122" s="1" t="s">
        <v>16</v>
      </c>
      <c r="G122" s="1" t="s">
        <v>17</v>
      </c>
      <c r="H122" s="1" t="s">
        <v>17</v>
      </c>
      <c r="I122" s="3">
        <v>45412.12694444445</v>
      </c>
      <c r="J122" s="3">
        <v>45457.9484375</v>
      </c>
      <c r="K122" s="4">
        <v>45420.0</v>
      </c>
      <c r="L122" s="1" t="s">
        <v>18</v>
      </c>
    </row>
    <row r="123">
      <c r="A123" s="1" t="s">
        <v>12</v>
      </c>
      <c r="B123" s="2" t="str">
        <f>HYPERLINK("https://bihardware.atlassian.net/browse/EMBEDDED-718?atlOrigin=eyJpIjoiYzgwYTQ0ZjEyNzQzNGJhN2JmNjEyZTM0NmRhZWZhNjIiLCJwIjoic2hlZXRzLWppcmEifQ","EMBEDDED-718")</f>
        <v>EMBEDDED-718</v>
      </c>
      <c r="C123" s="1" t="s">
        <v>138</v>
      </c>
      <c r="D123" s="1" t="s">
        <v>14</v>
      </c>
      <c r="E123" s="1" t="s">
        <v>15</v>
      </c>
      <c r="F123" s="1" t="s">
        <v>16</v>
      </c>
      <c r="G123" s="1" t="s">
        <v>17</v>
      </c>
      <c r="H123" s="1" t="s">
        <v>17</v>
      </c>
      <c r="I123" s="3">
        <v>45412.12949074074</v>
      </c>
      <c r="J123" s="3">
        <v>45457.9484375</v>
      </c>
      <c r="K123" s="4">
        <v>45420.0</v>
      </c>
      <c r="L123" s="1" t="s">
        <v>18</v>
      </c>
    </row>
    <row r="124">
      <c r="A124" s="1" t="s">
        <v>12</v>
      </c>
      <c r="B124" s="2" t="str">
        <f>HYPERLINK("https://bihardware.atlassian.net/browse/EMBEDDED-748?atlOrigin=eyJpIjoiYzgwYTQ0ZjEyNzQzNGJhN2JmNjEyZTM0NmRhZWZhNjIiLCJwIjoic2hlZXRzLWppcmEifQ","EMBEDDED-748")</f>
        <v>EMBEDDED-748</v>
      </c>
      <c r="C124" s="1" t="s">
        <v>139</v>
      </c>
      <c r="D124" s="1" t="s">
        <v>14</v>
      </c>
      <c r="E124" s="1" t="s">
        <v>15</v>
      </c>
      <c r="F124" s="1" t="s">
        <v>16</v>
      </c>
      <c r="G124" s="1" t="s">
        <v>17</v>
      </c>
      <c r="H124" s="1" t="s">
        <v>17</v>
      </c>
      <c r="I124" s="3">
        <v>45419.123819444445</v>
      </c>
      <c r="J124" s="3">
        <v>45457.94855324074</v>
      </c>
      <c r="K124" s="4">
        <v>45426.0</v>
      </c>
      <c r="L124" s="1" t="s">
        <v>18</v>
      </c>
    </row>
    <row r="125">
      <c r="A125" s="1" t="s">
        <v>12</v>
      </c>
      <c r="B125" s="2" t="str">
        <f>HYPERLINK("https://bihardware.atlassian.net/browse/EMBEDDED-750?atlOrigin=eyJpIjoiYzgwYTQ0ZjEyNzQzNGJhN2JmNjEyZTM0NmRhZWZhNjIiLCJwIjoic2hlZXRzLWppcmEifQ","EMBEDDED-750")</f>
        <v>EMBEDDED-750</v>
      </c>
      <c r="C125" s="1" t="s">
        <v>140</v>
      </c>
      <c r="D125" s="1" t="s">
        <v>14</v>
      </c>
      <c r="E125" s="1" t="s">
        <v>15</v>
      </c>
      <c r="F125" s="1" t="s">
        <v>16</v>
      </c>
      <c r="G125" s="1" t="s">
        <v>17</v>
      </c>
      <c r="H125" s="1" t="s">
        <v>17</v>
      </c>
      <c r="I125" s="3">
        <v>45419.13825231481</v>
      </c>
      <c r="J125" s="3">
        <v>45457.948541666665</v>
      </c>
      <c r="K125" s="4">
        <v>45426.0</v>
      </c>
      <c r="L125" s="1" t="s">
        <v>18</v>
      </c>
    </row>
    <row r="126">
      <c r="A126" s="1" t="s">
        <v>12</v>
      </c>
      <c r="B126" s="2" t="str">
        <f>HYPERLINK("https://bihardware.atlassian.net/browse/EMBEDDED-752?atlOrigin=eyJpIjoiYzgwYTQ0ZjEyNzQzNGJhN2JmNjEyZTM0NmRhZWZhNjIiLCJwIjoic2hlZXRzLWppcmEifQ","EMBEDDED-752")</f>
        <v>EMBEDDED-752</v>
      </c>
      <c r="C126" s="1" t="s">
        <v>141</v>
      </c>
      <c r="D126" s="1" t="s">
        <v>14</v>
      </c>
      <c r="E126" s="1" t="s">
        <v>15</v>
      </c>
      <c r="F126" s="1" t="s">
        <v>16</v>
      </c>
      <c r="G126" s="1" t="s">
        <v>17</v>
      </c>
      <c r="H126" s="1" t="s">
        <v>17</v>
      </c>
      <c r="I126" s="3">
        <v>45420.03134259259</v>
      </c>
      <c r="J126" s="3">
        <v>45457.948530092595</v>
      </c>
      <c r="K126" s="4">
        <v>45427.0</v>
      </c>
      <c r="L126" s="1" t="s">
        <v>18</v>
      </c>
    </row>
    <row r="127">
      <c r="A127" s="1" t="s">
        <v>12</v>
      </c>
      <c r="B127" s="2" t="str">
        <f>HYPERLINK("https://bihardware.atlassian.net/browse/EMBEDDED-754?atlOrigin=eyJpIjoiYzgwYTQ0ZjEyNzQzNGJhN2JmNjEyZTM0NmRhZWZhNjIiLCJwIjoic2hlZXRzLWppcmEifQ","EMBEDDED-754")</f>
        <v>EMBEDDED-754</v>
      </c>
      <c r="C127" s="1" t="s">
        <v>142</v>
      </c>
      <c r="D127" s="1" t="s">
        <v>14</v>
      </c>
      <c r="E127" s="1" t="s">
        <v>15</v>
      </c>
      <c r="F127" s="1" t="s">
        <v>84</v>
      </c>
      <c r="G127" s="1" t="s">
        <v>17</v>
      </c>
      <c r="H127" s="1" t="s">
        <v>17</v>
      </c>
      <c r="I127" s="3">
        <v>45421.051828703705</v>
      </c>
      <c r="J127" s="3">
        <v>45422.888020833336</v>
      </c>
      <c r="K127" s="4">
        <v>45428.0</v>
      </c>
      <c r="L127" s="1" t="s">
        <v>18</v>
      </c>
    </row>
    <row r="128">
      <c r="A128" s="1" t="s">
        <v>12</v>
      </c>
      <c r="B128" s="2" t="str">
        <f>HYPERLINK("https://bihardware.atlassian.net/browse/EMBEDDED-755?atlOrigin=eyJpIjoiYzgwYTQ0ZjEyNzQzNGJhN2JmNjEyZTM0NmRhZWZhNjIiLCJwIjoic2hlZXRzLWppcmEifQ","EMBEDDED-755")</f>
        <v>EMBEDDED-755</v>
      </c>
      <c r="C128" s="1" t="s">
        <v>143</v>
      </c>
      <c r="D128" s="1" t="s">
        <v>14</v>
      </c>
      <c r="E128" s="1" t="s">
        <v>15</v>
      </c>
      <c r="F128" s="1" t="s">
        <v>16</v>
      </c>
      <c r="G128" s="1" t="s">
        <v>17</v>
      </c>
      <c r="H128" s="1" t="s">
        <v>17</v>
      </c>
      <c r="I128" s="3">
        <v>45421.128113425926</v>
      </c>
      <c r="J128" s="3">
        <v>45457.948599537034</v>
      </c>
      <c r="K128" s="4">
        <v>45428.0</v>
      </c>
      <c r="L128" s="1" t="s">
        <v>18</v>
      </c>
    </row>
    <row r="129">
      <c r="A129" s="1" t="s">
        <v>12</v>
      </c>
      <c r="B129" s="2" t="str">
        <f>HYPERLINK("https://bihardware.atlassian.net/browse/EMBEDDED-759?atlOrigin=eyJpIjoiYzgwYTQ0ZjEyNzQzNGJhN2JmNjEyZTM0NmRhZWZhNjIiLCJwIjoic2hlZXRzLWppcmEifQ","EMBEDDED-759")</f>
        <v>EMBEDDED-759</v>
      </c>
      <c r="C129" s="1" t="s">
        <v>144</v>
      </c>
      <c r="D129" s="1" t="s">
        <v>14</v>
      </c>
      <c r="E129" s="1" t="s">
        <v>15</v>
      </c>
      <c r="F129" s="1" t="s">
        <v>16</v>
      </c>
      <c r="G129" s="1" t="s">
        <v>17</v>
      </c>
      <c r="H129" s="1" t="s">
        <v>17</v>
      </c>
      <c r="I129" s="3">
        <v>45423.096875</v>
      </c>
      <c r="J129" s="3">
        <v>45457.94861111111</v>
      </c>
      <c r="K129" s="4">
        <v>45430.0</v>
      </c>
      <c r="L129" s="1" t="s">
        <v>18</v>
      </c>
    </row>
    <row r="130">
      <c r="A130" s="1" t="s">
        <v>12</v>
      </c>
      <c r="B130" s="2" t="str">
        <f>HYPERLINK("https://bihardware.atlassian.net/browse/EMBEDDED-760?atlOrigin=eyJpIjoiYzgwYTQ0ZjEyNzQzNGJhN2JmNjEyZTM0NmRhZWZhNjIiLCJwIjoic2hlZXRzLWppcmEifQ","EMBEDDED-760")</f>
        <v>EMBEDDED-760</v>
      </c>
      <c r="C130" s="1" t="s">
        <v>145</v>
      </c>
      <c r="D130" s="1" t="s">
        <v>14</v>
      </c>
      <c r="E130" s="1" t="s">
        <v>15</v>
      </c>
      <c r="F130" s="1" t="s">
        <v>16</v>
      </c>
      <c r="G130" s="1" t="s">
        <v>17</v>
      </c>
      <c r="H130" s="1" t="s">
        <v>17</v>
      </c>
      <c r="I130" s="3">
        <v>45423.116898148146</v>
      </c>
      <c r="J130" s="3">
        <v>45457.94861111111</v>
      </c>
      <c r="K130" s="4">
        <v>45430.0</v>
      </c>
      <c r="L130" s="1" t="s">
        <v>18</v>
      </c>
    </row>
    <row r="131">
      <c r="A131" s="1" t="s">
        <v>12</v>
      </c>
      <c r="B131" s="2" t="str">
        <f>HYPERLINK("https://bihardware.atlassian.net/browse/EMBEDDED-761?atlOrigin=eyJpIjoiYzgwYTQ0ZjEyNzQzNGJhN2JmNjEyZTM0NmRhZWZhNjIiLCJwIjoic2hlZXRzLWppcmEifQ","EMBEDDED-761")</f>
        <v>EMBEDDED-761</v>
      </c>
      <c r="C131" s="1" t="s">
        <v>146</v>
      </c>
      <c r="D131" s="1" t="s">
        <v>14</v>
      </c>
      <c r="E131" s="1" t="s">
        <v>15</v>
      </c>
      <c r="F131" s="1" t="s">
        <v>16</v>
      </c>
      <c r="G131" s="1" t="s">
        <v>17</v>
      </c>
      <c r="H131" s="1" t="s">
        <v>17</v>
      </c>
      <c r="I131" s="3">
        <v>45423.18371527778</v>
      </c>
      <c r="J131" s="3">
        <v>45457.948587962965</v>
      </c>
      <c r="K131" s="4">
        <v>45430.0</v>
      </c>
      <c r="L131" s="1" t="s">
        <v>18</v>
      </c>
    </row>
    <row r="132">
      <c r="A132" s="1" t="s">
        <v>12</v>
      </c>
      <c r="B132" s="2" t="str">
        <f>HYPERLINK("https://bihardware.atlassian.net/browse/EMBEDDED-765?atlOrigin=eyJpIjoiYzgwYTQ0ZjEyNzQzNGJhN2JmNjEyZTM0NmRhZWZhNjIiLCJwIjoic2hlZXRzLWppcmEifQ","EMBEDDED-765")</f>
        <v>EMBEDDED-765</v>
      </c>
      <c r="C132" s="1" t="s">
        <v>147</v>
      </c>
      <c r="D132" s="1" t="s">
        <v>14</v>
      </c>
      <c r="E132" s="1" t="s">
        <v>15</v>
      </c>
      <c r="F132" s="1" t="s">
        <v>16</v>
      </c>
      <c r="G132" s="1" t="s">
        <v>17</v>
      </c>
      <c r="H132" s="1" t="s">
        <v>17</v>
      </c>
      <c r="I132" s="3">
        <v>45425.23767361111</v>
      </c>
      <c r="J132" s="3">
        <v>45457.94865740741</v>
      </c>
      <c r="K132" s="4">
        <v>45432.0</v>
      </c>
      <c r="L132" s="1" t="s">
        <v>18</v>
      </c>
    </row>
    <row r="133">
      <c r="A133" s="1" t="s">
        <v>12</v>
      </c>
      <c r="B133" s="2" t="str">
        <f>HYPERLINK("https://bihardware.atlassian.net/browse/EMBEDDED-770?atlOrigin=eyJpIjoiYzgwYTQ0ZjEyNzQzNGJhN2JmNjEyZTM0NmRhZWZhNjIiLCJwIjoic2hlZXRzLWppcmEifQ","EMBEDDED-770")</f>
        <v>EMBEDDED-770</v>
      </c>
      <c r="C133" s="1" t="s">
        <v>148</v>
      </c>
      <c r="D133" s="1" t="s">
        <v>14</v>
      </c>
      <c r="E133" s="1" t="s">
        <v>15</v>
      </c>
      <c r="F133" s="1" t="s">
        <v>16</v>
      </c>
      <c r="G133" s="1" t="s">
        <v>17</v>
      </c>
      <c r="H133" s="1" t="s">
        <v>17</v>
      </c>
      <c r="I133" s="3">
        <v>45429.08361111111</v>
      </c>
      <c r="J133" s="3">
        <v>45457.94865740741</v>
      </c>
      <c r="K133" s="4">
        <v>45471.0</v>
      </c>
      <c r="L133" s="1" t="s">
        <v>18</v>
      </c>
    </row>
    <row r="134">
      <c r="A134" s="1" t="s">
        <v>12</v>
      </c>
      <c r="B134" s="2" t="str">
        <f>HYPERLINK("https://bihardware.atlassian.net/browse/EMBEDDED-775?atlOrigin=eyJpIjoiYzgwYTQ0ZjEyNzQzNGJhN2JmNjEyZTM0NmRhZWZhNjIiLCJwIjoic2hlZXRzLWppcmEifQ","EMBEDDED-775")</f>
        <v>EMBEDDED-775</v>
      </c>
      <c r="C134" s="1" t="s">
        <v>149</v>
      </c>
      <c r="D134" s="1" t="s">
        <v>14</v>
      </c>
      <c r="E134" s="1" t="s">
        <v>15</v>
      </c>
      <c r="F134" s="1" t="s">
        <v>16</v>
      </c>
      <c r="G134" s="1" t="s">
        <v>17</v>
      </c>
      <c r="H134" s="1" t="s">
        <v>17</v>
      </c>
      <c r="I134" s="3">
        <v>45436.00098379629</v>
      </c>
      <c r="J134" s="3">
        <v>45439.08908564815</v>
      </c>
      <c r="K134" s="4">
        <v>45443.0</v>
      </c>
      <c r="L134" s="1" t="s">
        <v>18</v>
      </c>
    </row>
    <row r="135">
      <c r="A135" s="1" t="s">
        <v>12</v>
      </c>
      <c r="B135" s="2" t="str">
        <f>HYPERLINK("https://bihardware.atlassian.net/browse/EMBEDDED-776?atlOrigin=eyJpIjoiYzgwYTQ0ZjEyNzQzNGJhN2JmNjEyZTM0NmRhZWZhNjIiLCJwIjoic2hlZXRzLWppcmEifQ","EMBEDDED-776")</f>
        <v>EMBEDDED-776</v>
      </c>
      <c r="C135" s="1" t="s">
        <v>150</v>
      </c>
      <c r="D135" s="1" t="s">
        <v>14</v>
      </c>
      <c r="E135" s="1" t="s">
        <v>15</v>
      </c>
      <c r="F135" s="1" t="s">
        <v>16</v>
      </c>
      <c r="G135" s="1" t="s">
        <v>17</v>
      </c>
      <c r="H135" s="1" t="s">
        <v>17</v>
      </c>
      <c r="I135" s="3">
        <v>45436.00356481481</v>
      </c>
      <c r="J135" s="3">
        <v>45439.087905092594</v>
      </c>
      <c r="K135" s="4">
        <v>45443.0</v>
      </c>
      <c r="L135" s="1" t="s">
        <v>18</v>
      </c>
    </row>
    <row r="136">
      <c r="A136" s="1" t="s">
        <v>12</v>
      </c>
      <c r="B136" s="2" t="str">
        <f>HYPERLINK("https://bihardware.atlassian.net/browse/EMBEDDED-777?atlOrigin=eyJpIjoiYzgwYTQ0ZjEyNzQzNGJhN2JmNjEyZTM0NmRhZWZhNjIiLCJwIjoic2hlZXRzLWppcmEifQ","EMBEDDED-777")</f>
        <v>EMBEDDED-777</v>
      </c>
      <c r="C136" s="1" t="s">
        <v>151</v>
      </c>
      <c r="D136" s="1" t="s">
        <v>14</v>
      </c>
      <c r="E136" s="1" t="s">
        <v>15</v>
      </c>
      <c r="F136" s="1" t="s">
        <v>16</v>
      </c>
      <c r="G136" s="1" t="s">
        <v>17</v>
      </c>
      <c r="H136" s="1" t="s">
        <v>17</v>
      </c>
      <c r="I136" s="3">
        <v>45437.156875</v>
      </c>
      <c r="J136" s="3">
        <v>45439.12900462963</v>
      </c>
      <c r="K136" s="4">
        <v>45444.0</v>
      </c>
      <c r="L136" s="1" t="s">
        <v>18</v>
      </c>
    </row>
    <row r="137">
      <c r="A137" s="1" t="s">
        <v>12</v>
      </c>
      <c r="B137" s="2" t="str">
        <f>HYPERLINK("https://bihardware.atlassian.net/browse/EMBEDDED-778?atlOrigin=eyJpIjoiYzgwYTQ0ZjEyNzQzNGJhN2JmNjEyZTM0NmRhZWZhNjIiLCJwIjoic2hlZXRzLWppcmEifQ","EMBEDDED-778")</f>
        <v>EMBEDDED-778</v>
      </c>
      <c r="C137" s="1" t="s">
        <v>152</v>
      </c>
      <c r="D137" s="1" t="s">
        <v>14</v>
      </c>
      <c r="E137" s="1" t="s">
        <v>15</v>
      </c>
      <c r="F137" s="1" t="s">
        <v>16</v>
      </c>
      <c r="G137" s="1" t="s">
        <v>17</v>
      </c>
      <c r="H137" s="1" t="s">
        <v>17</v>
      </c>
      <c r="I137" s="3">
        <v>45437.16065972222</v>
      </c>
      <c r="J137" s="3">
        <v>45439.13408564815</v>
      </c>
      <c r="K137" s="4">
        <v>45444.0</v>
      </c>
      <c r="L137" s="1" t="s">
        <v>18</v>
      </c>
    </row>
    <row r="138">
      <c r="A138" s="1" t="s">
        <v>12</v>
      </c>
      <c r="B138" s="2" t="str">
        <f>HYPERLINK("https://bihardware.atlassian.net/browse/EMBEDDED-783?atlOrigin=eyJpIjoiYzgwYTQ0ZjEyNzQzNGJhN2JmNjEyZTM0NmRhZWZhNjIiLCJwIjoic2hlZXRzLWppcmEifQ","EMBEDDED-783")</f>
        <v>EMBEDDED-783</v>
      </c>
      <c r="C138" s="1" t="s">
        <v>153</v>
      </c>
      <c r="D138" s="1" t="s">
        <v>14</v>
      </c>
      <c r="E138" s="1" t="s">
        <v>15</v>
      </c>
      <c r="F138" s="1" t="s">
        <v>16</v>
      </c>
      <c r="G138" s="1" t="s">
        <v>17</v>
      </c>
      <c r="H138" s="1" t="s">
        <v>17</v>
      </c>
      <c r="I138" s="3">
        <v>45441.251921296294</v>
      </c>
      <c r="J138" s="3">
        <v>45457.94834490741</v>
      </c>
      <c r="K138" s="4">
        <v>45448.0</v>
      </c>
      <c r="L138" s="1" t="s">
        <v>18</v>
      </c>
    </row>
    <row r="139">
      <c r="A139" s="1" t="s">
        <v>12</v>
      </c>
      <c r="B139" s="2" t="str">
        <f>HYPERLINK("https://bihardware.atlassian.net/browse/EMBEDDED-796?atlOrigin=eyJpIjoiYzgwYTQ0ZjEyNzQzNGJhN2JmNjEyZTM0NmRhZWZhNjIiLCJwIjoic2hlZXRzLWppcmEifQ","EMBEDDED-796")</f>
        <v>EMBEDDED-796</v>
      </c>
      <c r="C139" s="1" t="s">
        <v>154</v>
      </c>
      <c r="D139" s="1" t="s">
        <v>14</v>
      </c>
      <c r="E139" s="1" t="s">
        <v>15</v>
      </c>
      <c r="F139" s="1" t="s">
        <v>16</v>
      </c>
      <c r="G139" s="1" t="s">
        <v>17</v>
      </c>
      <c r="H139" s="1" t="s">
        <v>17</v>
      </c>
      <c r="I139" s="3">
        <v>45449.01153935185</v>
      </c>
      <c r="J139" s="3">
        <v>45601.121099537035</v>
      </c>
      <c r="K139" s="4">
        <v>45456.0</v>
      </c>
      <c r="L139" s="1" t="s">
        <v>18</v>
      </c>
    </row>
    <row r="140">
      <c r="A140" s="1" t="s">
        <v>12</v>
      </c>
      <c r="B140" s="2" t="str">
        <f>HYPERLINK("https://bihardware.atlassian.net/browse/EMBEDDED-798?atlOrigin=eyJpIjoiYzgwYTQ0ZjEyNzQzNGJhN2JmNjEyZTM0NmRhZWZhNjIiLCJwIjoic2hlZXRzLWppcmEifQ","EMBEDDED-798")</f>
        <v>EMBEDDED-798</v>
      </c>
      <c r="C140" s="1" t="s">
        <v>155</v>
      </c>
      <c r="D140" s="1" t="s">
        <v>14</v>
      </c>
      <c r="E140" s="1" t="s">
        <v>15</v>
      </c>
      <c r="F140" s="1" t="s">
        <v>16</v>
      </c>
      <c r="G140" s="1" t="s">
        <v>17</v>
      </c>
      <c r="H140" s="1" t="s">
        <v>17</v>
      </c>
      <c r="I140" s="3">
        <v>45450.1847337963</v>
      </c>
      <c r="J140" s="3">
        <v>45457.94844907407</v>
      </c>
      <c r="K140" s="4">
        <v>45457.0</v>
      </c>
      <c r="L140" s="1" t="s">
        <v>18</v>
      </c>
    </row>
    <row r="141">
      <c r="A141" s="1" t="s">
        <v>12</v>
      </c>
      <c r="B141" s="2" t="str">
        <f>HYPERLINK("https://bihardware.atlassian.net/browse/EMBEDDED-799?atlOrigin=eyJpIjoiYzgwYTQ0ZjEyNzQzNGJhN2JmNjEyZTM0NmRhZWZhNjIiLCJwIjoic2hlZXRzLWppcmEifQ","EMBEDDED-799")</f>
        <v>EMBEDDED-799</v>
      </c>
      <c r="C141" s="1" t="s">
        <v>156</v>
      </c>
      <c r="D141" s="1" t="s">
        <v>14</v>
      </c>
      <c r="E141" s="1" t="s">
        <v>15</v>
      </c>
      <c r="F141" s="1" t="s">
        <v>16</v>
      </c>
      <c r="G141" s="1" t="s">
        <v>17</v>
      </c>
      <c r="H141" s="1" t="s">
        <v>17</v>
      </c>
      <c r="I141" s="3">
        <v>45450.94525462963</v>
      </c>
      <c r="J141" s="3">
        <v>45462.252071759256</v>
      </c>
      <c r="K141" s="4">
        <v>45458.0</v>
      </c>
      <c r="L141" s="1" t="s">
        <v>18</v>
      </c>
    </row>
    <row r="142">
      <c r="A142" s="1" t="s">
        <v>12</v>
      </c>
      <c r="B142" s="2" t="str">
        <f>HYPERLINK("https://bihardware.atlassian.net/browse/EMBEDDED-800?atlOrigin=eyJpIjoiYzgwYTQ0ZjEyNzQzNGJhN2JmNjEyZTM0NmRhZWZhNjIiLCJwIjoic2hlZXRzLWppcmEifQ","EMBEDDED-800")</f>
        <v>EMBEDDED-800</v>
      </c>
      <c r="C142" s="1" t="s">
        <v>157</v>
      </c>
      <c r="D142" s="1" t="s">
        <v>14</v>
      </c>
      <c r="E142" s="1" t="s">
        <v>15</v>
      </c>
      <c r="F142" s="1" t="s">
        <v>16</v>
      </c>
      <c r="G142" s="1" t="s">
        <v>17</v>
      </c>
      <c r="H142" s="1" t="s">
        <v>17</v>
      </c>
      <c r="I142" s="3">
        <v>45451.11494212963</v>
      </c>
      <c r="J142" s="3">
        <v>45464.22015046296</v>
      </c>
      <c r="K142" s="4">
        <v>45458.0</v>
      </c>
      <c r="L142" s="1" t="s">
        <v>18</v>
      </c>
    </row>
    <row r="143">
      <c r="A143" s="1" t="s">
        <v>12</v>
      </c>
      <c r="B143" s="2" t="str">
        <f>HYPERLINK("https://bihardware.atlassian.net/browse/EMBEDDED-801?atlOrigin=eyJpIjoiYzgwYTQ0ZjEyNzQzNGJhN2JmNjEyZTM0NmRhZWZhNjIiLCJwIjoic2hlZXRzLWppcmEifQ","EMBEDDED-801")</f>
        <v>EMBEDDED-801</v>
      </c>
      <c r="C143" s="1" t="s">
        <v>158</v>
      </c>
      <c r="D143" s="1" t="s">
        <v>14</v>
      </c>
      <c r="E143" s="1" t="s">
        <v>15</v>
      </c>
      <c r="F143" s="1" t="s">
        <v>16</v>
      </c>
      <c r="G143" s="1" t="s">
        <v>17</v>
      </c>
      <c r="H143" s="1" t="s">
        <v>17</v>
      </c>
      <c r="I143" s="3">
        <v>45451.2325462963</v>
      </c>
      <c r="J143" s="3">
        <v>45464.95450231482</v>
      </c>
      <c r="K143" s="4">
        <v>45458.0</v>
      </c>
      <c r="L143" s="1" t="s">
        <v>18</v>
      </c>
    </row>
    <row r="144">
      <c r="A144" s="1" t="s">
        <v>12</v>
      </c>
      <c r="B144" s="2" t="str">
        <f>HYPERLINK("https://bihardware.atlassian.net/browse/EMBEDDED-803?atlOrigin=eyJpIjoiYzgwYTQ0ZjEyNzQzNGJhN2JmNjEyZTM0NmRhZWZhNjIiLCJwIjoic2hlZXRzLWppcmEifQ","EMBEDDED-803")</f>
        <v>EMBEDDED-803</v>
      </c>
      <c r="C144" s="1" t="s">
        <v>159</v>
      </c>
      <c r="D144" s="1" t="s">
        <v>14</v>
      </c>
      <c r="E144" s="1" t="s">
        <v>15</v>
      </c>
      <c r="F144" s="1" t="s">
        <v>16</v>
      </c>
      <c r="G144" s="1" t="s">
        <v>17</v>
      </c>
      <c r="H144" s="1" t="s">
        <v>17</v>
      </c>
      <c r="I144" s="3">
        <v>45454.99344907407</v>
      </c>
      <c r="J144" s="3">
        <v>45705.885925925926</v>
      </c>
      <c r="K144" s="4">
        <v>45462.0</v>
      </c>
      <c r="L144" s="1">
        <v>1.0</v>
      </c>
    </row>
    <row r="145">
      <c r="A145" s="1" t="s">
        <v>12</v>
      </c>
      <c r="B145" s="2" t="str">
        <f>HYPERLINK("https://bihardware.atlassian.net/browse/EMBEDDED-804?atlOrigin=eyJpIjoiYzgwYTQ0ZjEyNzQzNGJhN2JmNjEyZTM0NmRhZWZhNjIiLCJwIjoic2hlZXRzLWppcmEifQ","EMBEDDED-804")</f>
        <v>EMBEDDED-804</v>
      </c>
      <c r="C145" s="1" t="s">
        <v>160</v>
      </c>
      <c r="D145" s="1" t="s">
        <v>14</v>
      </c>
      <c r="E145" s="1" t="s">
        <v>15</v>
      </c>
      <c r="F145" s="1" t="s">
        <v>16</v>
      </c>
      <c r="G145" s="1" t="s">
        <v>17</v>
      </c>
      <c r="H145" s="1" t="s">
        <v>17</v>
      </c>
      <c r="I145" s="3">
        <v>45455.158483796295</v>
      </c>
      <c r="J145" s="3">
        <v>45465.008263888885</v>
      </c>
      <c r="K145" s="4">
        <v>45462.0</v>
      </c>
      <c r="L145" s="1" t="s">
        <v>18</v>
      </c>
    </row>
    <row r="146">
      <c r="A146" s="1" t="s">
        <v>12</v>
      </c>
      <c r="B146" s="2" t="str">
        <f>HYPERLINK("https://bihardware.atlassian.net/browse/EMBEDDED-844?atlOrigin=eyJpIjoiYzgwYTQ0ZjEyNzQzNGJhN2JmNjEyZTM0NmRhZWZhNjIiLCJwIjoic2hlZXRzLWppcmEifQ","EMBEDDED-844")</f>
        <v>EMBEDDED-844</v>
      </c>
      <c r="C146" s="1" t="s">
        <v>161</v>
      </c>
      <c r="D146" s="1" t="s">
        <v>14</v>
      </c>
      <c r="E146" s="1" t="s">
        <v>15</v>
      </c>
      <c r="F146" s="1" t="s">
        <v>16</v>
      </c>
      <c r="G146" s="1" t="s">
        <v>17</v>
      </c>
      <c r="H146" s="1" t="s">
        <v>17</v>
      </c>
      <c r="I146" s="3">
        <v>45465.156909722224</v>
      </c>
      <c r="J146" s="3">
        <v>45469.23694444444</v>
      </c>
      <c r="K146" s="4">
        <v>45472.0</v>
      </c>
      <c r="L146" s="1" t="s">
        <v>18</v>
      </c>
    </row>
    <row r="147">
      <c r="A147" s="1" t="s">
        <v>12</v>
      </c>
      <c r="B147" s="2" t="str">
        <f>HYPERLINK("https://bihardware.atlassian.net/browse/EMBEDDED-845?atlOrigin=eyJpIjoiYzgwYTQ0ZjEyNzQzNGJhN2JmNjEyZTM0NmRhZWZhNjIiLCJwIjoic2hlZXRzLWppcmEifQ","EMBEDDED-845")</f>
        <v>EMBEDDED-845</v>
      </c>
      <c r="C147" s="1" t="s">
        <v>162</v>
      </c>
      <c r="D147" s="1" t="s">
        <v>14</v>
      </c>
      <c r="E147" s="1" t="s">
        <v>15</v>
      </c>
      <c r="F147" s="1" t="s">
        <v>16</v>
      </c>
      <c r="G147" s="1" t="s">
        <v>17</v>
      </c>
      <c r="H147" s="1" t="s">
        <v>17</v>
      </c>
      <c r="I147" s="3">
        <v>45469.044895833336</v>
      </c>
      <c r="J147" s="3">
        <v>45469.208715277775</v>
      </c>
      <c r="K147" s="4">
        <v>45476.0</v>
      </c>
      <c r="L147" s="1" t="s">
        <v>18</v>
      </c>
    </row>
    <row r="148">
      <c r="A148" s="1" t="s">
        <v>12</v>
      </c>
      <c r="B148" s="2" t="str">
        <f>HYPERLINK("https://bihardware.atlassian.net/browse/EMBEDDED-847?atlOrigin=eyJpIjoiYzgwYTQ0ZjEyNzQzNGJhN2JmNjEyZTM0NmRhZWZhNjIiLCJwIjoic2hlZXRzLWppcmEifQ","EMBEDDED-847")</f>
        <v>EMBEDDED-847</v>
      </c>
      <c r="C148" s="1" t="s">
        <v>163</v>
      </c>
      <c r="D148" s="1" t="s">
        <v>14</v>
      </c>
      <c r="E148" s="1" t="s">
        <v>15</v>
      </c>
      <c r="F148" s="1" t="s">
        <v>16</v>
      </c>
      <c r="G148" s="1" t="s">
        <v>17</v>
      </c>
      <c r="H148" s="1" t="s">
        <v>17</v>
      </c>
      <c r="I148" s="3">
        <v>45470.210486111115</v>
      </c>
      <c r="J148" s="3">
        <v>45470.23359953704</v>
      </c>
      <c r="K148" s="4">
        <v>45477.0</v>
      </c>
      <c r="L148" s="1" t="s">
        <v>18</v>
      </c>
    </row>
    <row r="149">
      <c r="A149" s="1" t="s">
        <v>12</v>
      </c>
      <c r="B149" s="2" t="str">
        <f>HYPERLINK("https://bihardware.atlassian.net/browse/EMBEDDED-848?atlOrigin=eyJpIjoiYzgwYTQ0ZjEyNzQzNGJhN2JmNjEyZTM0NmRhZWZhNjIiLCJwIjoic2hlZXRzLWppcmEifQ","EMBEDDED-848")</f>
        <v>EMBEDDED-848</v>
      </c>
      <c r="C149" s="1" t="s">
        <v>164</v>
      </c>
      <c r="D149" s="1" t="s">
        <v>14</v>
      </c>
      <c r="E149" s="1" t="s">
        <v>15</v>
      </c>
      <c r="F149" s="1" t="s">
        <v>16</v>
      </c>
      <c r="G149" s="1" t="s">
        <v>17</v>
      </c>
      <c r="H149" s="1" t="s">
        <v>17</v>
      </c>
      <c r="I149" s="3">
        <v>45471.19579861111</v>
      </c>
      <c r="J149" s="3">
        <v>45481.25392361111</v>
      </c>
      <c r="K149" s="4">
        <v>45478.0</v>
      </c>
      <c r="L149" s="1" t="s">
        <v>18</v>
      </c>
    </row>
    <row r="150">
      <c r="A150" s="1" t="s">
        <v>12</v>
      </c>
      <c r="B150" s="2" t="str">
        <f>HYPERLINK("https://bihardware.atlassian.net/browse/EMBEDDED-849?atlOrigin=eyJpIjoiYzgwYTQ0ZjEyNzQzNGJhN2JmNjEyZTM0NmRhZWZhNjIiLCJwIjoic2hlZXRzLWppcmEifQ","EMBEDDED-849")</f>
        <v>EMBEDDED-849</v>
      </c>
      <c r="C150" s="1" t="s">
        <v>165</v>
      </c>
      <c r="D150" s="1" t="s">
        <v>14</v>
      </c>
      <c r="E150" s="1" t="s">
        <v>15</v>
      </c>
      <c r="F150" s="1" t="s">
        <v>16</v>
      </c>
      <c r="G150" s="1" t="s">
        <v>17</v>
      </c>
      <c r="H150" s="1" t="s">
        <v>17</v>
      </c>
      <c r="I150" s="3">
        <v>45471.248703703706</v>
      </c>
      <c r="J150" s="3">
        <v>45481.25369212963</v>
      </c>
      <c r="K150" s="4">
        <v>45478.0</v>
      </c>
      <c r="L150" s="1" t="s">
        <v>18</v>
      </c>
    </row>
    <row r="151">
      <c r="A151" s="1" t="s">
        <v>12</v>
      </c>
      <c r="B151" s="2" t="str">
        <f>HYPERLINK("https://bihardware.atlassian.net/browse/EMBEDDED-850?atlOrigin=eyJpIjoiYzgwYTQ0ZjEyNzQzNGJhN2JmNjEyZTM0NmRhZWZhNjIiLCJwIjoic2hlZXRzLWppcmEifQ","EMBEDDED-850")</f>
        <v>EMBEDDED-850</v>
      </c>
      <c r="C151" s="1" t="s">
        <v>166</v>
      </c>
      <c r="D151" s="1" t="s">
        <v>14</v>
      </c>
      <c r="E151" s="1" t="s">
        <v>15</v>
      </c>
      <c r="F151" s="1" t="s">
        <v>16</v>
      </c>
      <c r="G151" s="1" t="s">
        <v>17</v>
      </c>
      <c r="H151" s="1" t="s">
        <v>17</v>
      </c>
      <c r="I151" s="3">
        <v>45471.25609953704</v>
      </c>
      <c r="J151" s="3">
        <v>45483.95145833334</v>
      </c>
      <c r="K151" s="4">
        <v>45478.0</v>
      </c>
      <c r="L151" s="1" t="s">
        <v>18</v>
      </c>
    </row>
    <row r="152">
      <c r="A152" s="1" t="s">
        <v>12</v>
      </c>
      <c r="B152" s="2" t="str">
        <f>HYPERLINK("https://bihardware.atlassian.net/browse/EMBEDDED-851?atlOrigin=eyJpIjoiYzgwYTQ0ZjEyNzQzNGJhN2JmNjEyZTM0NmRhZWZhNjIiLCJwIjoic2hlZXRzLWppcmEifQ","EMBEDDED-851")</f>
        <v>EMBEDDED-851</v>
      </c>
      <c r="C152" s="1" t="s">
        <v>167</v>
      </c>
      <c r="D152" s="1" t="s">
        <v>14</v>
      </c>
      <c r="E152" s="1" t="s">
        <v>15</v>
      </c>
      <c r="F152" s="1" t="s">
        <v>16</v>
      </c>
      <c r="G152" s="1" t="s">
        <v>17</v>
      </c>
      <c r="H152" s="1" t="s">
        <v>17</v>
      </c>
      <c r="I152" s="3">
        <v>45472.05862268519</v>
      </c>
      <c r="J152" s="3">
        <v>45483.97887731482</v>
      </c>
      <c r="K152" s="4">
        <v>45479.0</v>
      </c>
      <c r="L152" s="1" t="s">
        <v>18</v>
      </c>
    </row>
    <row r="153">
      <c r="A153" s="1" t="s">
        <v>12</v>
      </c>
      <c r="B153" s="2" t="str">
        <f>HYPERLINK("https://bihardware.atlassian.net/browse/EMBEDDED-872?atlOrigin=eyJpIjoiYzgwYTQ0ZjEyNzQzNGJhN2JmNjEyZTM0NmRhZWZhNjIiLCJwIjoic2hlZXRzLWppcmEifQ","EMBEDDED-872")</f>
        <v>EMBEDDED-872</v>
      </c>
      <c r="C153" s="1" t="s">
        <v>168</v>
      </c>
      <c r="D153" s="1" t="s">
        <v>14</v>
      </c>
      <c r="E153" s="1" t="s">
        <v>169</v>
      </c>
      <c r="F153" s="1" t="s">
        <v>16</v>
      </c>
      <c r="G153" s="1" t="s">
        <v>17</v>
      </c>
      <c r="H153" s="1" t="s">
        <v>17</v>
      </c>
      <c r="I153" s="3">
        <v>45476.805972222224</v>
      </c>
      <c r="J153" s="3">
        <v>45515.994305555556</v>
      </c>
      <c r="K153" s="4">
        <v>45477.0</v>
      </c>
      <c r="L153" s="1" t="s">
        <v>18</v>
      </c>
    </row>
    <row r="154">
      <c r="A154" s="1" t="s">
        <v>12</v>
      </c>
      <c r="B154" s="2" t="str">
        <f>HYPERLINK("https://bihardware.atlassian.net/browse/EMBEDDED-873?atlOrigin=eyJpIjoiYzgwYTQ0ZjEyNzQzNGJhN2JmNjEyZTM0NmRhZWZhNjIiLCJwIjoic2hlZXRzLWppcmEifQ","EMBEDDED-873")</f>
        <v>EMBEDDED-873</v>
      </c>
      <c r="C154" s="1" t="s">
        <v>170</v>
      </c>
      <c r="D154" s="1" t="s">
        <v>14</v>
      </c>
      <c r="E154" s="1" t="s">
        <v>169</v>
      </c>
      <c r="F154" s="1" t="s">
        <v>16</v>
      </c>
      <c r="G154" s="1" t="s">
        <v>17</v>
      </c>
      <c r="H154" s="1" t="s">
        <v>17</v>
      </c>
      <c r="I154" s="3">
        <v>45476.807534722226</v>
      </c>
      <c r="J154" s="3">
        <v>45484.24891203704</v>
      </c>
      <c r="K154" s="4">
        <v>45477.0</v>
      </c>
      <c r="L154" s="1" t="s">
        <v>18</v>
      </c>
    </row>
    <row r="155">
      <c r="A155" s="1" t="s">
        <v>12</v>
      </c>
      <c r="B155" s="2" t="str">
        <f>HYPERLINK("https://bihardware.atlassian.net/browse/EMBEDDED-874?atlOrigin=eyJpIjoiYzgwYTQ0ZjEyNzQzNGJhN2JmNjEyZTM0NmRhZWZhNjIiLCJwIjoic2hlZXRzLWppcmEifQ","EMBEDDED-874")</f>
        <v>EMBEDDED-874</v>
      </c>
      <c r="C155" s="1" t="s">
        <v>171</v>
      </c>
      <c r="D155" s="1" t="s">
        <v>172</v>
      </c>
      <c r="E155" s="1" t="s">
        <v>169</v>
      </c>
      <c r="F155" s="1" t="s">
        <v>16</v>
      </c>
      <c r="G155" s="1" t="s">
        <v>17</v>
      </c>
      <c r="H155" s="1" t="s">
        <v>17</v>
      </c>
      <c r="I155" s="3">
        <v>45476.810891203706</v>
      </c>
      <c r="J155" s="3">
        <v>45481.918287037035</v>
      </c>
      <c r="K155" s="4">
        <v>45478.0</v>
      </c>
      <c r="L155" s="1" t="s">
        <v>18</v>
      </c>
    </row>
    <row r="156">
      <c r="A156" s="1" t="s">
        <v>12</v>
      </c>
      <c r="B156" s="2" t="str">
        <f>HYPERLINK("https://bihardware.atlassian.net/browse/EMBEDDED-876?atlOrigin=eyJpIjoiYzgwYTQ0ZjEyNzQzNGJhN2JmNjEyZTM0NmRhZWZhNjIiLCJwIjoic2hlZXRzLWppcmEifQ","EMBEDDED-876")</f>
        <v>EMBEDDED-876</v>
      </c>
      <c r="C156" s="1" t="s">
        <v>173</v>
      </c>
      <c r="D156" s="1" t="s">
        <v>14</v>
      </c>
      <c r="E156" s="1" t="s">
        <v>169</v>
      </c>
      <c r="F156" s="1" t="s">
        <v>16</v>
      </c>
      <c r="G156" s="1" t="s">
        <v>17</v>
      </c>
      <c r="H156" s="1" t="s">
        <v>17</v>
      </c>
      <c r="I156" s="3">
        <v>45476.81354166667</v>
      </c>
      <c r="J156" s="3">
        <v>45484.248703703706</v>
      </c>
      <c r="K156" s="4">
        <v>45479.0</v>
      </c>
      <c r="L156" s="1" t="s">
        <v>18</v>
      </c>
    </row>
    <row r="157">
      <c r="A157" s="1" t="s">
        <v>12</v>
      </c>
      <c r="B157" s="2" t="str">
        <f>HYPERLINK("https://bihardware.atlassian.net/browse/EMBEDDED-877?atlOrigin=eyJpIjoiYzgwYTQ0ZjEyNzQzNGJhN2JmNjEyZTM0NmRhZWZhNjIiLCJwIjoic2hlZXRzLWppcmEifQ","EMBEDDED-877")</f>
        <v>EMBEDDED-877</v>
      </c>
      <c r="C157" s="1" t="s">
        <v>174</v>
      </c>
      <c r="D157" s="1" t="s">
        <v>172</v>
      </c>
      <c r="E157" s="1" t="s">
        <v>169</v>
      </c>
      <c r="F157" s="1" t="s">
        <v>120</v>
      </c>
      <c r="G157" s="1" t="s">
        <v>17</v>
      </c>
      <c r="H157" s="1" t="s">
        <v>17</v>
      </c>
      <c r="I157" s="3">
        <v>45476.885405092595</v>
      </c>
      <c r="J157" s="3">
        <v>45483.00116898148</v>
      </c>
      <c r="K157" s="4">
        <v>45519.0</v>
      </c>
      <c r="L157" s="1" t="s">
        <v>18</v>
      </c>
    </row>
    <row r="158">
      <c r="A158" s="1" t="s">
        <v>12</v>
      </c>
      <c r="B158" s="2" t="str">
        <f>HYPERLINK("https://bihardware.atlassian.net/browse/EMBEDDED-878?atlOrigin=eyJpIjoiYzgwYTQ0ZjEyNzQzNGJhN2JmNjEyZTM0NmRhZWZhNjIiLCJwIjoic2hlZXRzLWppcmEifQ","EMBEDDED-878")</f>
        <v>EMBEDDED-878</v>
      </c>
      <c r="C158" s="1" t="s">
        <v>175</v>
      </c>
      <c r="D158" s="1" t="s">
        <v>172</v>
      </c>
      <c r="E158" s="1" t="s">
        <v>169</v>
      </c>
      <c r="F158" s="1" t="s">
        <v>120</v>
      </c>
      <c r="G158" s="1" t="s">
        <v>17</v>
      </c>
      <c r="H158" s="1" t="s">
        <v>17</v>
      </c>
      <c r="I158" s="3">
        <v>45476.88795138889</v>
      </c>
      <c r="J158" s="3">
        <v>45483.00096064815</v>
      </c>
      <c r="K158" s="4">
        <v>45519.0</v>
      </c>
      <c r="L158" s="1" t="s">
        <v>18</v>
      </c>
    </row>
    <row r="159">
      <c r="A159" s="1" t="s">
        <v>12</v>
      </c>
      <c r="B159" s="2" t="str">
        <f>HYPERLINK("https://bihardware.atlassian.net/browse/EMBEDDED-924?atlOrigin=eyJpIjoiYzgwYTQ0ZjEyNzQzNGJhN2JmNjEyZTM0NmRhZWZhNjIiLCJwIjoic2hlZXRzLWppcmEifQ","EMBEDDED-924")</f>
        <v>EMBEDDED-924</v>
      </c>
      <c r="C159" s="1" t="s">
        <v>176</v>
      </c>
      <c r="D159" s="1" t="s">
        <v>169</v>
      </c>
      <c r="E159" s="1" t="s">
        <v>15</v>
      </c>
      <c r="F159" s="1" t="s">
        <v>16</v>
      </c>
      <c r="G159" s="1" t="s">
        <v>17</v>
      </c>
      <c r="H159" s="1" t="s">
        <v>17</v>
      </c>
      <c r="I159" s="3">
        <v>45489.13605324074</v>
      </c>
      <c r="J159" s="3">
        <v>45608.08300925926</v>
      </c>
      <c r="K159" s="4">
        <v>45496.0</v>
      </c>
      <c r="L159" s="1">
        <v>1.0</v>
      </c>
    </row>
    <row r="160">
      <c r="A160" s="1" t="s">
        <v>12</v>
      </c>
      <c r="B160" s="2" t="str">
        <f>HYPERLINK("https://bihardware.atlassian.net/browse/EMBEDDED-925?atlOrigin=eyJpIjoiYzgwYTQ0ZjEyNzQzNGJhN2JmNjEyZTM0NmRhZWZhNjIiLCJwIjoic2hlZXRzLWppcmEifQ","EMBEDDED-925")</f>
        <v>EMBEDDED-925</v>
      </c>
      <c r="C160" s="1" t="s">
        <v>177</v>
      </c>
      <c r="D160" s="1" t="s">
        <v>14</v>
      </c>
      <c r="E160" s="1" t="s">
        <v>15</v>
      </c>
      <c r="F160" s="1" t="s">
        <v>16</v>
      </c>
      <c r="G160" s="1" t="s">
        <v>17</v>
      </c>
      <c r="H160" s="1" t="s">
        <v>17</v>
      </c>
      <c r="I160" s="3">
        <v>45489.23784722222</v>
      </c>
      <c r="J160" s="3">
        <v>45527.063252314816</v>
      </c>
      <c r="K160" s="4">
        <v>45496.0</v>
      </c>
      <c r="L160" s="1">
        <v>1.0</v>
      </c>
    </row>
    <row r="161">
      <c r="A161" s="1" t="s">
        <v>12</v>
      </c>
      <c r="B161" s="2" t="str">
        <f>HYPERLINK("https://bihardware.atlassian.net/browse/EMBEDDED-933?atlOrigin=eyJpIjoiYzgwYTQ0ZjEyNzQzNGJhN2JmNjEyZTM0NmRhZWZhNjIiLCJwIjoic2hlZXRzLWppcmEifQ","EMBEDDED-933")</f>
        <v>EMBEDDED-933</v>
      </c>
      <c r="C161" s="1" t="s">
        <v>178</v>
      </c>
      <c r="D161" s="1" t="s">
        <v>14</v>
      </c>
      <c r="E161" s="1" t="s">
        <v>15</v>
      </c>
      <c r="F161" s="1" t="s">
        <v>16</v>
      </c>
      <c r="G161" s="1" t="s">
        <v>17</v>
      </c>
      <c r="H161" s="1" t="s">
        <v>17</v>
      </c>
      <c r="I161" s="3">
        <v>45492.0709375</v>
      </c>
      <c r="J161" s="3">
        <v>45601.119791666664</v>
      </c>
      <c r="K161" s="4">
        <v>45499.0</v>
      </c>
      <c r="L161" s="1">
        <v>2.0</v>
      </c>
    </row>
    <row r="162">
      <c r="A162" s="1" t="s">
        <v>12</v>
      </c>
      <c r="B162" s="2" t="str">
        <f>HYPERLINK("https://bihardware.atlassian.net/browse/EMBEDDED-934?atlOrigin=eyJpIjoiYzgwYTQ0ZjEyNzQzNGJhN2JmNjEyZTM0NmRhZWZhNjIiLCJwIjoic2hlZXRzLWppcmEifQ","EMBEDDED-934")</f>
        <v>EMBEDDED-934</v>
      </c>
      <c r="C162" s="1" t="s">
        <v>179</v>
      </c>
      <c r="D162" s="1" t="s">
        <v>14</v>
      </c>
      <c r="E162" s="1" t="s">
        <v>15</v>
      </c>
      <c r="F162" s="1" t="s">
        <v>16</v>
      </c>
      <c r="G162" s="1" t="s">
        <v>17</v>
      </c>
      <c r="H162" s="1" t="s">
        <v>17</v>
      </c>
      <c r="I162" s="3">
        <v>45492.15085648148</v>
      </c>
      <c r="J162" s="3">
        <v>45601.12002314815</v>
      </c>
      <c r="K162" s="4">
        <v>45499.0</v>
      </c>
      <c r="L162" s="1">
        <v>1.0</v>
      </c>
    </row>
    <row r="163">
      <c r="A163" s="1" t="s">
        <v>12</v>
      </c>
      <c r="B163" s="2" t="str">
        <f>HYPERLINK("https://bihardware.atlassian.net/browse/EMBEDDED-936?atlOrigin=eyJpIjoiYzgwYTQ0ZjEyNzQzNGJhN2JmNjEyZTM0NmRhZWZhNjIiLCJwIjoic2hlZXRzLWppcmEifQ","EMBEDDED-936")</f>
        <v>EMBEDDED-936</v>
      </c>
      <c r="C163" s="1" t="s">
        <v>180</v>
      </c>
      <c r="D163" s="1" t="s">
        <v>169</v>
      </c>
      <c r="E163" s="1" t="s">
        <v>15</v>
      </c>
      <c r="F163" s="1" t="s">
        <v>16</v>
      </c>
      <c r="G163" s="1" t="s">
        <v>17</v>
      </c>
      <c r="H163" s="1" t="s">
        <v>17</v>
      </c>
      <c r="I163" s="3">
        <v>45492.258993055555</v>
      </c>
      <c r="J163" s="3">
        <v>45644.20284722222</v>
      </c>
      <c r="K163" s="4">
        <v>45499.0</v>
      </c>
      <c r="L163" s="1">
        <v>3.0</v>
      </c>
    </row>
    <row r="164">
      <c r="A164" s="1" t="s">
        <v>12</v>
      </c>
      <c r="B164" s="2" t="str">
        <f>HYPERLINK("https://bihardware.atlassian.net/browse/EMBEDDED-1013?atlOrigin=eyJpIjoiYzgwYTQ0ZjEyNzQzNGJhN2JmNjEyZTM0NmRhZWZhNjIiLCJwIjoic2hlZXRzLWppcmEifQ","EMBEDDED-1013")</f>
        <v>EMBEDDED-1013</v>
      </c>
      <c r="C164" s="1" t="s">
        <v>181</v>
      </c>
      <c r="D164" s="1" t="s">
        <v>14</v>
      </c>
      <c r="E164" s="1" t="s">
        <v>15</v>
      </c>
      <c r="F164" s="1" t="s">
        <v>16</v>
      </c>
      <c r="G164" s="1" t="s">
        <v>17</v>
      </c>
      <c r="H164" s="1" t="s">
        <v>17</v>
      </c>
      <c r="I164" s="3">
        <v>45510.06452546296</v>
      </c>
      <c r="J164" s="3">
        <v>45527.04111111111</v>
      </c>
      <c r="K164" s="4">
        <v>45517.0</v>
      </c>
      <c r="L164" s="1">
        <v>1.0</v>
      </c>
    </row>
    <row r="165">
      <c r="A165" s="1" t="s">
        <v>12</v>
      </c>
      <c r="B165" s="2" t="str">
        <f>HYPERLINK("https://bihardware.atlassian.net/browse/EMBEDDED-1015?atlOrigin=eyJpIjoiYzgwYTQ0ZjEyNzQzNGJhN2JmNjEyZTM0NmRhZWZhNjIiLCJwIjoic2hlZXRzLWppcmEifQ","EMBEDDED-1015")</f>
        <v>EMBEDDED-1015</v>
      </c>
      <c r="C165" s="1" t="s">
        <v>182</v>
      </c>
      <c r="D165" s="1" t="s">
        <v>14</v>
      </c>
      <c r="E165" s="1" t="s">
        <v>15</v>
      </c>
      <c r="F165" s="1" t="s">
        <v>16</v>
      </c>
      <c r="G165" s="1" t="s">
        <v>17</v>
      </c>
      <c r="H165" s="1" t="s">
        <v>17</v>
      </c>
      <c r="I165" s="3">
        <v>45510.147361111114</v>
      </c>
      <c r="J165" s="3">
        <v>45587.14928240741</v>
      </c>
      <c r="K165" s="4">
        <v>45552.0</v>
      </c>
      <c r="L165" s="1">
        <v>1.0</v>
      </c>
    </row>
    <row r="166">
      <c r="A166" s="1" t="s">
        <v>12</v>
      </c>
      <c r="B166" s="2" t="str">
        <f>HYPERLINK("https://bihardware.atlassian.net/browse/EMBEDDED-1016?atlOrigin=eyJpIjoiYzgwYTQ0ZjEyNzQzNGJhN2JmNjEyZTM0NmRhZWZhNjIiLCJwIjoic2hlZXRzLWppcmEifQ","EMBEDDED-1016")</f>
        <v>EMBEDDED-1016</v>
      </c>
      <c r="C166" s="1" t="s">
        <v>183</v>
      </c>
      <c r="D166" s="1" t="s">
        <v>14</v>
      </c>
      <c r="E166" s="1" t="s">
        <v>15</v>
      </c>
      <c r="F166" s="1" t="s">
        <v>16</v>
      </c>
      <c r="G166" s="1" t="s">
        <v>17</v>
      </c>
      <c r="H166" s="1" t="s">
        <v>17</v>
      </c>
      <c r="I166" s="3">
        <v>45510.25716435185</v>
      </c>
      <c r="J166" s="3">
        <v>45527.03989583333</v>
      </c>
      <c r="K166" s="4">
        <v>45517.0</v>
      </c>
      <c r="L166" s="1">
        <v>1.0</v>
      </c>
    </row>
    <row r="167">
      <c r="A167" s="1" t="s">
        <v>12</v>
      </c>
      <c r="B167" s="2" t="str">
        <f>HYPERLINK("https://bihardware.atlassian.net/browse/EMBEDDED-1033?atlOrigin=eyJpIjoiYzgwYTQ0ZjEyNzQzNGJhN2JmNjEyZTM0NmRhZWZhNjIiLCJwIjoic2hlZXRzLWppcmEifQ","EMBEDDED-1033")</f>
        <v>EMBEDDED-1033</v>
      </c>
      <c r="C167" s="1" t="s">
        <v>184</v>
      </c>
      <c r="D167" s="1" t="s">
        <v>14</v>
      </c>
      <c r="E167" s="1" t="s">
        <v>15</v>
      </c>
      <c r="F167" s="1" t="s">
        <v>16</v>
      </c>
      <c r="G167" s="1" t="s">
        <v>185</v>
      </c>
      <c r="H167" s="1" t="s">
        <v>18</v>
      </c>
      <c r="I167" s="3">
        <v>45517.13788194444</v>
      </c>
      <c r="J167" s="3">
        <v>45566.17424768519</v>
      </c>
      <c r="K167" s="4">
        <v>45608.0</v>
      </c>
      <c r="L167" s="1">
        <v>2.0</v>
      </c>
    </row>
    <row r="168">
      <c r="A168" s="1" t="s">
        <v>12</v>
      </c>
      <c r="B168" s="2" t="str">
        <f>HYPERLINK("https://bihardware.atlassian.net/browse/EMBEDDED-1035?atlOrigin=eyJpIjoiYzgwYTQ0ZjEyNzQzNGJhN2JmNjEyZTM0NmRhZWZhNjIiLCJwIjoic2hlZXRzLWppcmEifQ","EMBEDDED-1035")</f>
        <v>EMBEDDED-1035</v>
      </c>
      <c r="C168" s="1" t="s">
        <v>186</v>
      </c>
      <c r="D168" s="1" t="s">
        <v>14</v>
      </c>
      <c r="E168" s="1" t="s">
        <v>15</v>
      </c>
      <c r="F168" s="1" t="s">
        <v>16</v>
      </c>
      <c r="G168" s="1" t="s">
        <v>17</v>
      </c>
      <c r="H168" s="1" t="s">
        <v>17</v>
      </c>
      <c r="I168" s="3">
        <v>45520.12961805556</v>
      </c>
      <c r="J168" s="3">
        <v>45542.02082175926</v>
      </c>
      <c r="K168" s="4">
        <v>45527.0</v>
      </c>
      <c r="L168" s="1">
        <v>1.0</v>
      </c>
    </row>
    <row r="169">
      <c r="A169" s="1" t="s">
        <v>12</v>
      </c>
      <c r="B169" s="2" t="str">
        <f>HYPERLINK("https://bihardware.atlassian.net/browse/EMBEDDED-1045?atlOrigin=eyJpIjoiYzgwYTQ0ZjEyNzQzNGJhN2JmNjEyZTM0NmRhZWZhNjIiLCJwIjoic2hlZXRzLWppcmEifQ","EMBEDDED-1045")</f>
        <v>EMBEDDED-1045</v>
      </c>
      <c r="C169" s="1" t="s">
        <v>187</v>
      </c>
      <c r="D169" s="1" t="s">
        <v>14</v>
      </c>
      <c r="E169" s="1" t="s">
        <v>15</v>
      </c>
      <c r="F169" s="1" t="s">
        <v>16</v>
      </c>
      <c r="G169" s="1" t="s">
        <v>17</v>
      </c>
      <c r="H169" s="1" t="s">
        <v>17</v>
      </c>
      <c r="I169" s="3">
        <v>45520.95291666667</v>
      </c>
      <c r="J169" s="3">
        <v>45532.062256944446</v>
      </c>
      <c r="K169" s="4">
        <v>45528.0</v>
      </c>
      <c r="L169" s="1">
        <v>1.0</v>
      </c>
    </row>
    <row r="170">
      <c r="A170" s="1" t="s">
        <v>12</v>
      </c>
      <c r="B170" s="2" t="str">
        <f>HYPERLINK("https://bihardware.atlassian.net/browse/EMBEDDED-1051?atlOrigin=eyJpIjoiYzgwYTQ0ZjEyNzQzNGJhN2JmNjEyZTM0NmRhZWZhNjIiLCJwIjoic2hlZXRzLWppcmEifQ","EMBEDDED-1051")</f>
        <v>EMBEDDED-1051</v>
      </c>
      <c r="C170" s="1" t="s">
        <v>188</v>
      </c>
      <c r="D170" s="1" t="s">
        <v>14</v>
      </c>
      <c r="E170" s="1" t="s">
        <v>15</v>
      </c>
      <c r="F170" s="1" t="s">
        <v>16</v>
      </c>
      <c r="G170" s="1" t="s">
        <v>17</v>
      </c>
      <c r="H170" s="1" t="s">
        <v>17</v>
      </c>
      <c r="I170" s="3">
        <v>45524.94877314815</v>
      </c>
      <c r="J170" s="3">
        <v>45532.02180555555</v>
      </c>
      <c r="K170" s="4">
        <v>45532.0</v>
      </c>
      <c r="L170" s="1">
        <v>1.0</v>
      </c>
    </row>
    <row r="171">
      <c r="A171" s="1" t="s">
        <v>12</v>
      </c>
      <c r="B171" s="2" t="str">
        <f>HYPERLINK("https://bihardware.atlassian.net/browse/EMBEDDED-1052?atlOrigin=eyJpIjoiYzgwYTQ0ZjEyNzQzNGJhN2JmNjEyZTM0NmRhZWZhNjIiLCJwIjoic2hlZXRzLWppcmEifQ","EMBEDDED-1052")</f>
        <v>EMBEDDED-1052</v>
      </c>
      <c r="C171" s="1" t="s">
        <v>189</v>
      </c>
      <c r="D171" s="1" t="s">
        <v>14</v>
      </c>
      <c r="E171" s="1" t="s">
        <v>15</v>
      </c>
      <c r="F171" s="1" t="s">
        <v>84</v>
      </c>
      <c r="G171" s="1" t="s">
        <v>17</v>
      </c>
      <c r="H171" s="1" t="s">
        <v>17</v>
      </c>
      <c r="I171" s="3">
        <v>45526.14048611111</v>
      </c>
      <c r="J171" s="3">
        <v>45532.93172453704</v>
      </c>
      <c r="K171" s="4">
        <v>45533.0</v>
      </c>
      <c r="L171" s="1">
        <v>2.0</v>
      </c>
    </row>
    <row r="172">
      <c r="A172" s="1" t="s">
        <v>12</v>
      </c>
      <c r="B172" s="2" t="str">
        <f>HYPERLINK("https://bihardware.atlassian.net/browse/EMBEDDED-1054?atlOrigin=eyJpIjoiYzgwYTQ0ZjEyNzQzNGJhN2JmNjEyZTM0NmRhZWZhNjIiLCJwIjoic2hlZXRzLWppcmEifQ","EMBEDDED-1054")</f>
        <v>EMBEDDED-1054</v>
      </c>
      <c r="C172" s="1" t="s">
        <v>190</v>
      </c>
      <c r="D172" s="1" t="s">
        <v>14</v>
      </c>
      <c r="E172" s="1" t="s">
        <v>15</v>
      </c>
      <c r="F172" s="1" t="s">
        <v>16</v>
      </c>
      <c r="G172" s="1" t="s">
        <v>17</v>
      </c>
      <c r="H172" s="1" t="s">
        <v>17</v>
      </c>
      <c r="I172" s="3">
        <v>45528.117939814816</v>
      </c>
      <c r="J172" s="3">
        <v>45542.02148148148</v>
      </c>
      <c r="K172" s="4">
        <v>45535.0</v>
      </c>
      <c r="L172" s="1">
        <v>1.0</v>
      </c>
    </row>
    <row r="173">
      <c r="A173" s="1" t="s">
        <v>12</v>
      </c>
      <c r="B173" s="2" t="str">
        <f>HYPERLINK("https://bihardware.atlassian.net/browse/EMBEDDED-1055?atlOrigin=eyJpIjoiYzgwYTQ0ZjEyNzQzNGJhN2JmNjEyZTM0NmRhZWZhNjIiLCJwIjoic2hlZXRzLWppcmEifQ","EMBEDDED-1055")</f>
        <v>EMBEDDED-1055</v>
      </c>
      <c r="C173" s="1" t="s">
        <v>191</v>
      </c>
      <c r="D173" s="1" t="s">
        <v>15</v>
      </c>
      <c r="E173" s="1" t="s">
        <v>15</v>
      </c>
      <c r="F173" s="1" t="s">
        <v>16</v>
      </c>
      <c r="G173" s="1" t="s">
        <v>17</v>
      </c>
      <c r="H173" s="1" t="s">
        <v>17</v>
      </c>
      <c r="I173" s="3">
        <v>45528.20039351852</v>
      </c>
      <c r="J173" s="3">
        <v>45533.261712962965</v>
      </c>
      <c r="K173" s="4">
        <v>45535.0</v>
      </c>
      <c r="L173" s="1">
        <v>1.0</v>
      </c>
    </row>
    <row r="174">
      <c r="A174" s="1" t="s">
        <v>12</v>
      </c>
      <c r="B174" s="2" t="str">
        <f>HYPERLINK("https://bihardware.atlassian.net/browse/EMBEDDED-1075?atlOrigin=eyJpIjoiYzgwYTQ0ZjEyNzQzNGJhN2JmNjEyZTM0NmRhZWZhNjIiLCJwIjoic2hlZXRzLWppcmEifQ","EMBEDDED-1075")</f>
        <v>EMBEDDED-1075</v>
      </c>
      <c r="C174" s="1" t="s">
        <v>192</v>
      </c>
      <c r="D174" s="1" t="s">
        <v>14</v>
      </c>
      <c r="E174" s="1" t="s">
        <v>15</v>
      </c>
      <c r="F174" s="1" t="s">
        <v>16</v>
      </c>
      <c r="G174" s="1" t="s">
        <v>17</v>
      </c>
      <c r="H174" s="1" t="s">
        <v>17</v>
      </c>
      <c r="I174" s="3">
        <v>45545.20893518518</v>
      </c>
      <c r="J174" s="3">
        <v>45553.26840277778</v>
      </c>
      <c r="K174" s="4">
        <v>45552.0</v>
      </c>
      <c r="L174" s="1">
        <v>1.0</v>
      </c>
    </row>
    <row r="175">
      <c r="A175" s="1" t="s">
        <v>12</v>
      </c>
      <c r="B175" s="2" t="str">
        <f>HYPERLINK("https://bihardware.atlassian.net/browse/EMBEDDED-1089?atlOrigin=eyJpIjoiYzgwYTQ0ZjEyNzQzNGJhN2JmNjEyZTM0NmRhZWZhNjIiLCJwIjoic2hlZXRzLWppcmEifQ","EMBEDDED-1089")</f>
        <v>EMBEDDED-1089</v>
      </c>
      <c r="C175" s="1" t="s">
        <v>193</v>
      </c>
      <c r="D175" s="1" t="s">
        <v>169</v>
      </c>
      <c r="E175" s="1" t="s">
        <v>15</v>
      </c>
      <c r="F175" s="1" t="s">
        <v>16</v>
      </c>
      <c r="G175" s="1" t="s">
        <v>17</v>
      </c>
      <c r="H175" s="1" t="s">
        <v>17</v>
      </c>
      <c r="I175" s="3">
        <v>45546.292858796296</v>
      </c>
      <c r="J175" s="3">
        <v>45706.05462962963</v>
      </c>
      <c r="K175" s="4">
        <v>45553.0</v>
      </c>
      <c r="L175" s="1">
        <v>1.0</v>
      </c>
    </row>
    <row r="176">
      <c r="A176" s="1" t="s">
        <v>12</v>
      </c>
      <c r="B176" s="2" t="str">
        <f>HYPERLINK("https://bihardware.atlassian.net/browse/EMBEDDED-1090?atlOrigin=eyJpIjoiYzgwYTQ0ZjEyNzQzNGJhN2JmNjEyZTM0NmRhZWZhNjIiLCJwIjoic2hlZXRzLWppcmEifQ","EMBEDDED-1090")</f>
        <v>EMBEDDED-1090</v>
      </c>
      <c r="C176" s="1" t="s">
        <v>194</v>
      </c>
      <c r="D176" s="1" t="s">
        <v>14</v>
      </c>
      <c r="E176" s="1" t="s">
        <v>15</v>
      </c>
      <c r="F176" s="1" t="s">
        <v>16</v>
      </c>
      <c r="G176" s="1" t="s">
        <v>17</v>
      </c>
      <c r="H176" s="1" t="s">
        <v>17</v>
      </c>
      <c r="I176" s="3">
        <v>45547.23289351852</v>
      </c>
      <c r="J176" s="3">
        <v>45553.267534722225</v>
      </c>
      <c r="K176" s="4">
        <v>45554.0</v>
      </c>
      <c r="L176" s="1">
        <v>1.0</v>
      </c>
    </row>
    <row r="177">
      <c r="A177" s="1" t="s">
        <v>12</v>
      </c>
      <c r="B177" s="2" t="str">
        <f>HYPERLINK("https://bihardware.atlassian.net/browse/EMBEDDED-1094?atlOrigin=eyJpIjoiYzgwYTQ0ZjEyNzQzNGJhN2JmNjEyZTM0NmRhZWZhNjIiLCJwIjoic2hlZXRzLWppcmEifQ","EMBEDDED-1094")</f>
        <v>EMBEDDED-1094</v>
      </c>
      <c r="C177" s="1" t="s">
        <v>195</v>
      </c>
      <c r="D177" s="1" t="s">
        <v>14</v>
      </c>
      <c r="E177" s="1" t="s">
        <v>15</v>
      </c>
      <c r="F177" s="1" t="s">
        <v>16</v>
      </c>
      <c r="G177" s="1" t="s">
        <v>17</v>
      </c>
      <c r="H177" s="1" t="s">
        <v>17</v>
      </c>
      <c r="I177" s="3">
        <v>45553.24643518519</v>
      </c>
      <c r="J177" s="3">
        <v>45555.101018518515</v>
      </c>
      <c r="K177" s="4">
        <v>45560.0</v>
      </c>
      <c r="L177" s="1">
        <v>1.0</v>
      </c>
    </row>
    <row r="178">
      <c r="A178" s="1" t="s">
        <v>12</v>
      </c>
      <c r="B178" s="2" t="str">
        <f>HYPERLINK("https://bihardware.atlassian.net/browse/EMBEDDED-1196?atlOrigin=eyJpIjoiYzgwYTQ0ZjEyNzQzNGJhN2JmNjEyZTM0NmRhZWZhNjIiLCJwIjoic2hlZXRzLWppcmEifQ","EMBEDDED-1196")</f>
        <v>EMBEDDED-1196</v>
      </c>
      <c r="C178" s="1" t="s">
        <v>196</v>
      </c>
      <c r="D178" s="1" t="s">
        <v>14</v>
      </c>
      <c r="E178" s="1" t="s">
        <v>15</v>
      </c>
      <c r="F178" s="1" t="s">
        <v>84</v>
      </c>
      <c r="G178" s="1" t="s">
        <v>17</v>
      </c>
      <c r="H178" s="1" t="s">
        <v>17</v>
      </c>
      <c r="I178" s="3">
        <v>45593.2115625</v>
      </c>
      <c r="J178" s="3">
        <v>45595.05133101852</v>
      </c>
      <c r="K178" s="4">
        <v>45600.0</v>
      </c>
      <c r="L178" s="1">
        <v>1.0</v>
      </c>
    </row>
    <row r="179">
      <c r="A179" s="1" t="s">
        <v>12</v>
      </c>
      <c r="B179" s="2" t="str">
        <f>HYPERLINK("https://bihardware.atlassian.net/browse/EMBEDDED-1197?atlOrigin=eyJpIjoiYzgwYTQ0ZjEyNzQzNGJhN2JmNjEyZTM0NmRhZWZhNjIiLCJwIjoic2hlZXRzLWppcmEifQ","EMBEDDED-1197")</f>
        <v>EMBEDDED-1197</v>
      </c>
      <c r="C179" s="1" t="s">
        <v>197</v>
      </c>
      <c r="D179" s="1" t="s">
        <v>14</v>
      </c>
      <c r="E179" s="1" t="s">
        <v>15</v>
      </c>
      <c r="F179" s="1" t="s">
        <v>84</v>
      </c>
      <c r="G179" s="1" t="s">
        <v>17</v>
      </c>
      <c r="H179" s="1" t="s">
        <v>17</v>
      </c>
      <c r="I179" s="3">
        <v>45593.239016203705</v>
      </c>
      <c r="J179" s="3">
        <v>45595.125706018516</v>
      </c>
      <c r="K179" s="4">
        <v>45600.0</v>
      </c>
      <c r="L179" s="1">
        <v>1.0</v>
      </c>
    </row>
    <row r="180">
      <c r="A180" s="1" t="s">
        <v>12</v>
      </c>
      <c r="B180" s="2" t="str">
        <f>HYPERLINK("https://bihardware.atlassian.net/browse/EMBEDDED-1210?atlOrigin=eyJpIjoiYzgwYTQ0ZjEyNzQzNGJhN2JmNjEyZTM0NmRhZWZhNjIiLCJwIjoic2hlZXRzLWppcmEifQ","EMBEDDED-1210")</f>
        <v>EMBEDDED-1210</v>
      </c>
      <c r="C180" s="1" t="s">
        <v>198</v>
      </c>
      <c r="D180" s="1" t="s">
        <v>169</v>
      </c>
      <c r="E180" s="1" t="s">
        <v>15</v>
      </c>
      <c r="F180" s="1" t="s">
        <v>84</v>
      </c>
      <c r="G180" s="1" t="s">
        <v>17</v>
      </c>
      <c r="H180" s="1" t="s">
        <v>17</v>
      </c>
      <c r="I180" s="3">
        <v>45600.914305555554</v>
      </c>
      <c r="J180" s="3">
        <v>45708.1802662037</v>
      </c>
      <c r="K180" s="4">
        <v>45608.0</v>
      </c>
      <c r="L180" s="1">
        <v>1.0</v>
      </c>
    </row>
    <row r="181">
      <c r="A181" s="1" t="s">
        <v>12</v>
      </c>
      <c r="B181" s="2" t="str">
        <f>HYPERLINK("https://bihardware.atlassian.net/browse/EMBEDDED-1211?atlOrigin=eyJpIjoiYzgwYTQ0ZjEyNzQzNGJhN2JmNjEyZTM0NmRhZWZhNjIiLCJwIjoic2hlZXRzLWppcmEifQ","EMBEDDED-1211")</f>
        <v>EMBEDDED-1211</v>
      </c>
      <c r="C181" s="1" t="s">
        <v>199</v>
      </c>
      <c r="D181" s="1" t="s">
        <v>14</v>
      </c>
      <c r="E181" s="1" t="s">
        <v>15</v>
      </c>
      <c r="F181" s="1" t="s">
        <v>16</v>
      </c>
      <c r="G181" s="1" t="s">
        <v>17</v>
      </c>
      <c r="H181" s="1" t="s">
        <v>17</v>
      </c>
      <c r="I181" s="3">
        <v>45600.99222222222</v>
      </c>
      <c r="J181" s="3">
        <v>45708.18059027778</v>
      </c>
      <c r="K181" s="4">
        <v>45608.0</v>
      </c>
      <c r="L181" s="1">
        <v>1.0</v>
      </c>
    </row>
    <row r="182">
      <c r="A182" s="1" t="s">
        <v>12</v>
      </c>
      <c r="B182" s="2" t="str">
        <f>HYPERLINK("https://bihardware.atlassian.net/browse/EMBEDDED-1243?atlOrigin=eyJpIjoiYzgwYTQ0ZjEyNzQzNGJhN2JmNjEyZTM0NmRhZWZhNjIiLCJwIjoic2hlZXRzLWppcmEifQ","EMBEDDED-1243")</f>
        <v>EMBEDDED-1243</v>
      </c>
      <c r="C182" s="1" t="s">
        <v>200</v>
      </c>
      <c r="D182" s="1" t="s">
        <v>14</v>
      </c>
      <c r="E182" s="1" t="s">
        <v>15</v>
      </c>
      <c r="F182" s="1" t="s">
        <v>16</v>
      </c>
      <c r="G182" s="1" t="s">
        <v>17</v>
      </c>
      <c r="H182" s="1" t="s">
        <v>17</v>
      </c>
      <c r="I182" s="3">
        <v>45605.16784722222</v>
      </c>
      <c r="J182" s="3">
        <v>45608.088842592595</v>
      </c>
      <c r="K182" s="4">
        <v>45612.0</v>
      </c>
      <c r="L182" s="1">
        <v>1.0</v>
      </c>
    </row>
    <row r="183">
      <c r="A183" s="1" t="s">
        <v>12</v>
      </c>
      <c r="B183" s="2" t="str">
        <f>HYPERLINK("https://bihardware.atlassian.net/browse/EMBEDDED-1263?atlOrigin=eyJpIjoiYzgwYTQ0ZjEyNzQzNGJhN2JmNjEyZTM0NmRhZWZhNjIiLCJwIjoic2hlZXRzLWppcmEifQ","EMBEDDED-1263")</f>
        <v>EMBEDDED-1263</v>
      </c>
      <c r="C183" s="1" t="s">
        <v>201</v>
      </c>
      <c r="D183" s="1" t="s">
        <v>14</v>
      </c>
      <c r="E183" s="1" t="s">
        <v>15</v>
      </c>
      <c r="F183" s="1" t="s">
        <v>16</v>
      </c>
      <c r="G183" s="1" t="s">
        <v>17</v>
      </c>
      <c r="H183" s="1" t="s">
        <v>17</v>
      </c>
      <c r="I183" s="3">
        <v>45611.14134259259</v>
      </c>
      <c r="J183" s="3">
        <v>45645.06443287037</v>
      </c>
      <c r="K183" s="4">
        <v>45618.0</v>
      </c>
      <c r="L183" s="1">
        <v>1.0</v>
      </c>
    </row>
    <row r="184">
      <c r="A184" s="1" t="s">
        <v>12</v>
      </c>
      <c r="B184" s="2" t="str">
        <f>HYPERLINK("https://bihardware.atlassian.net/browse/EMBEDDED-1280?atlOrigin=eyJpIjoiYzgwYTQ0ZjEyNzQzNGJhN2JmNjEyZTM0NmRhZWZhNjIiLCJwIjoic2hlZXRzLWppcmEifQ","EMBEDDED-1280")</f>
        <v>EMBEDDED-1280</v>
      </c>
      <c r="C184" s="1" t="s">
        <v>202</v>
      </c>
      <c r="D184" s="1" t="s">
        <v>14</v>
      </c>
      <c r="E184" s="1" t="s">
        <v>15</v>
      </c>
      <c r="F184" s="1" t="s">
        <v>16</v>
      </c>
      <c r="G184" s="1" t="s">
        <v>17</v>
      </c>
      <c r="H184" s="1" t="s">
        <v>17</v>
      </c>
      <c r="I184" s="3">
        <v>45623.19143518519</v>
      </c>
      <c r="J184" s="3">
        <v>45625.064618055556</v>
      </c>
      <c r="K184" s="4">
        <v>45630.0</v>
      </c>
      <c r="L184" s="1">
        <v>1.0</v>
      </c>
    </row>
    <row r="185">
      <c r="A185" s="1" t="s">
        <v>12</v>
      </c>
      <c r="B185" s="2" t="str">
        <f>HYPERLINK("https://bihardware.atlassian.net/browse/EMBEDDED-1285?atlOrigin=eyJpIjoiYzgwYTQ0ZjEyNzQzNGJhN2JmNjEyZTM0NmRhZWZhNjIiLCJwIjoic2hlZXRzLWppcmEifQ","EMBEDDED-1285")</f>
        <v>EMBEDDED-1285</v>
      </c>
      <c r="C185" s="1" t="s">
        <v>203</v>
      </c>
      <c r="D185" s="1" t="s">
        <v>14</v>
      </c>
      <c r="E185" s="1" t="s">
        <v>15</v>
      </c>
      <c r="F185" s="1" t="s">
        <v>84</v>
      </c>
      <c r="G185" s="1" t="s">
        <v>17</v>
      </c>
      <c r="H185" s="1" t="s">
        <v>17</v>
      </c>
      <c r="I185" s="3">
        <v>45625.00363425926</v>
      </c>
      <c r="J185" s="3">
        <v>45625.066041666665</v>
      </c>
      <c r="K185" s="4">
        <v>45632.0</v>
      </c>
      <c r="L185" s="1">
        <v>1.0</v>
      </c>
    </row>
    <row r="186">
      <c r="A186" s="1" t="s">
        <v>12</v>
      </c>
      <c r="B186" s="2" t="str">
        <f>HYPERLINK("https://bihardware.atlassian.net/browse/EMBEDDED-1291?atlOrigin=eyJpIjoiYzgwYTQ0ZjEyNzQzNGJhN2JmNjEyZTM0NmRhZWZhNjIiLCJwIjoic2hlZXRzLWppcmEifQ","EMBEDDED-1291")</f>
        <v>EMBEDDED-1291</v>
      </c>
      <c r="C186" s="1" t="s">
        <v>204</v>
      </c>
      <c r="D186" s="1" t="s">
        <v>169</v>
      </c>
      <c r="E186" s="1" t="s">
        <v>15</v>
      </c>
      <c r="F186" s="1" t="s">
        <v>84</v>
      </c>
      <c r="G186" s="1" t="s">
        <v>17</v>
      </c>
      <c r="H186" s="1" t="s">
        <v>17</v>
      </c>
      <c r="I186" s="3">
        <v>45629.20601851852</v>
      </c>
      <c r="J186" s="3">
        <v>45708.1809375</v>
      </c>
      <c r="K186" s="4">
        <v>45636.0</v>
      </c>
      <c r="L186" s="1">
        <v>1.0</v>
      </c>
    </row>
    <row r="187">
      <c r="A187" s="1" t="s">
        <v>12</v>
      </c>
      <c r="B187" s="2" t="str">
        <f>HYPERLINK("https://bihardware.atlassian.net/browse/EMBEDDED-1298?atlOrigin=eyJpIjoiYzgwYTQ0ZjEyNzQzNGJhN2JmNjEyZTM0NmRhZWZhNjIiLCJwIjoic2hlZXRzLWppcmEifQ","EMBEDDED-1298")</f>
        <v>EMBEDDED-1298</v>
      </c>
      <c r="C187" s="1" t="s">
        <v>205</v>
      </c>
      <c r="D187" s="1" t="s">
        <v>169</v>
      </c>
      <c r="E187" s="1" t="s">
        <v>15</v>
      </c>
      <c r="F187" s="1" t="s">
        <v>16</v>
      </c>
      <c r="G187" s="1" t="s">
        <v>17</v>
      </c>
      <c r="H187" s="1" t="s">
        <v>17</v>
      </c>
      <c r="I187" s="3">
        <v>45631.18052083333</v>
      </c>
      <c r="J187" s="3">
        <v>45855.11346064815</v>
      </c>
      <c r="K187" s="4">
        <v>45638.0</v>
      </c>
      <c r="L187" s="1">
        <v>1.0</v>
      </c>
    </row>
    <row r="188">
      <c r="A188" s="1" t="s">
        <v>12</v>
      </c>
      <c r="B188" s="2" t="str">
        <f>HYPERLINK("https://bihardware.atlassian.net/browse/EMBEDDED-1299?atlOrigin=eyJpIjoiYzgwYTQ0ZjEyNzQzNGJhN2JmNjEyZTM0NmRhZWZhNjIiLCJwIjoic2hlZXRzLWppcmEifQ","EMBEDDED-1299")</f>
        <v>EMBEDDED-1299</v>
      </c>
      <c r="C188" s="1" t="s">
        <v>206</v>
      </c>
      <c r="D188" s="1" t="s">
        <v>14</v>
      </c>
      <c r="E188" s="1" t="s">
        <v>15</v>
      </c>
      <c r="F188" s="1" t="s">
        <v>16</v>
      </c>
      <c r="G188" s="1" t="s">
        <v>17</v>
      </c>
      <c r="H188" s="1" t="s">
        <v>17</v>
      </c>
      <c r="I188" s="3">
        <v>45631.18949074074</v>
      </c>
      <c r="J188" s="3">
        <v>45631.95737268519</v>
      </c>
      <c r="K188" s="4">
        <v>45638.0</v>
      </c>
      <c r="L188" s="1">
        <v>1.0</v>
      </c>
    </row>
    <row r="189">
      <c r="A189" s="1" t="s">
        <v>12</v>
      </c>
      <c r="B189" s="2" t="str">
        <f>HYPERLINK("https://bihardware.atlassian.net/browse/EMBEDDED-1300?atlOrigin=eyJpIjoiYzgwYTQ0ZjEyNzQzNGJhN2JmNjEyZTM0NmRhZWZhNjIiLCJwIjoic2hlZXRzLWppcmEifQ","EMBEDDED-1300")</f>
        <v>EMBEDDED-1300</v>
      </c>
      <c r="C189" s="1" t="s">
        <v>207</v>
      </c>
      <c r="D189" s="1" t="s">
        <v>14</v>
      </c>
      <c r="E189" s="1" t="s">
        <v>15</v>
      </c>
      <c r="F189" s="1" t="s">
        <v>16</v>
      </c>
      <c r="G189" s="1" t="s">
        <v>17</v>
      </c>
      <c r="H189" s="1" t="s">
        <v>17</v>
      </c>
      <c r="I189" s="3">
        <v>45631.236134259256</v>
      </c>
      <c r="J189" s="3">
        <v>45636.0424537037</v>
      </c>
      <c r="K189" s="4">
        <v>45638.0</v>
      </c>
      <c r="L189" s="1">
        <v>1.0</v>
      </c>
    </row>
    <row r="190">
      <c r="A190" s="1" t="s">
        <v>12</v>
      </c>
      <c r="B190" s="2" t="str">
        <f>HYPERLINK("https://bihardware.atlassian.net/browse/EMBEDDED-1307?atlOrigin=eyJpIjoiYzgwYTQ0ZjEyNzQzNGJhN2JmNjEyZTM0NmRhZWZhNjIiLCJwIjoic2hlZXRzLWppcmEifQ","EMBEDDED-1307")</f>
        <v>EMBEDDED-1307</v>
      </c>
      <c r="C190" s="1" t="s">
        <v>208</v>
      </c>
      <c r="D190" s="1" t="s">
        <v>14</v>
      </c>
      <c r="E190" s="1" t="s">
        <v>15</v>
      </c>
      <c r="F190" s="1" t="s">
        <v>16</v>
      </c>
      <c r="G190" s="1" t="s">
        <v>17</v>
      </c>
      <c r="H190" s="1" t="s">
        <v>17</v>
      </c>
      <c r="I190" s="3">
        <v>45632.10554398148</v>
      </c>
      <c r="J190" s="3">
        <v>45644.15599537037</v>
      </c>
      <c r="K190" s="4">
        <v>45639.0</v>
      </c>
      <c r="L190" s="1">
        <v>2.0</v>
      </c>
    </row>
    <row r="191">
      <c r="A191" s="1" t="s">
        <v>12</v>
      </c>
      <c r="B191" s="2" t="str">
        <f>HYPERLINK("https://bihardware.atlassian.net/browse/EMBEDDED-1321?atlOrigin=eyJpIjoiYzgwYTQ0ZjEyNzQzNGJhN2JmNjEyZTM0NmRhZWZhNjIiLCJwIjoic2hlZXRzLWppcmEifQ","EMBEDDED-1321")</f>
        <v>EMBEDDED-1321</v>
      </c>
      <c r="C191" s="1" t="s">
        <v>209</v>
      </c>
      <c r="D191" s="1" t="s">
        <v>14</v>
      </c>
      <c r="E191" s="1" t="s">
        <v>15</v>
      </c>
      <c r="F191" s="1" t="s">
        <v>16</v>
      </c>
      <c r="G191" s="1" t="s">
        <v>17</v>
      </c>
      <c r="H191" s="1" t="s">
        <v>17</v>
      </c>
      <c r="I191" s="3">
        <v>45636.00162037037</v>
      </c>
      <c r="J191" s="3">
        <v>45636.147210648145</v>
      </c>
      <c r="K191" s="4">
        <v>45643.0</v>
      </c>
      <c r="L191" s="1">
        <v>1.0</v>
      </c>
    </row>
    <row r="192">
      <c r="A192" s="1" t="s">
        <v>12</v>
      </c>
      <c r="B192" s="2" t="str">
        <f>HYPERLINK("https://bihardware.atlassian.net/browse/EMBEDDED-1322?atlOrigin=eyJpIjoiYzgwYTQ0ZjEyNzQzNGJhN2JmNjEyZTM0NmRhZWZhNjIiLCJwIjoic2hlZXRzLWppcmEifQ","EMBEDDED-1322")</f>
        <v>EMBEDDED-1322</v>
      </c>
      <c r="C192" s="1" t="s">
        <v>210</v>
      </c>
      <c r="D192" s="1" t="s">
        <v>14</v>
      </c>
      <c r="E192" s="1" t="s">
        <v>15</v>
      </c>
      <c r="F192" s="1" t="s">
        <v>16</v>
      </c>
      <c r="G192" s="1" t="s">
        <v>17</v>
      </c>
      <c r="H192" s="1" t="s">
        <v>17</v>
      </c>
      <c r="I192" s="3">
        <v>45636.16013888889</v>
      </c>
      <c r="J192" s="3">
        <v>45741.010879629626</v>
      </c>
      <c r="K192" s="4">
        <v>45686.0</v>
      </c>
      <c r="L192" s="1">
        <v>1.0</v>
      </c>
    </row>
    <row r="193">
      <c r="A193" s="1" t="s">
        <v>12</v>
      </c>
      <c r="B193" s="2" t="str">
        <f>HYPERLINK("https://bihardware.atlassian.net/browse/EMBEDDED-1323?atlOrigin=eyJpIjoiYzgwYTQ0ZjEyNzQzNGJhN2JmNjEyZTM0NmRhZWZhNjIiLCJwIjoic2hlZXRzLWppcmEifQ","EMBEDDED-1323")</f>
        <v>EMBEDDED-1323</v>
      </c>
      <c r="C193" s="1" t="s">
        <v>211</v>
      </c>
      <c r="D193" s="1" t="s">
        <v>14</v>
      </c>
      <c r="E193" s="1" t="s">
        <v>15</v>
      </c>
      <c r="F193" s="1" t="s">
        <v>16</v>
      </c>
      <c r="G193" s="1" t="s">
        <v>17</v>
      </c>
      <c r="H193" s="1" t="s">
        <v>17</v>
      </c>
      <c r="I193" s="3">
        <v>45637.080092592594</v>
      </c>
      <c r="J193" s="3">
        <v>45697.97336805556</v>
      </c>
      <c r="K193" s="4">
        <v>45644.0</v>
      </c>
      <c r="L193" s="1">
        <v>1.0</v>
      </c>
    </row>
    <row r="194">
      <c r="A194" s="1" t="s">
        <v>12</v>
      </c>
      <c r="B194" s="2" t="str">
        <f>HYPERLINK("https://bihardware.atlassian.net/browse/EMBEDDED-1330?atlOrigin=eyJpIjoiYzgwYTQ0ZjEyNzQzNGJhN2JmNjEyZTM0NmRhZWZhNjIiLCJwIjoic2hlZXRzLWppcmEifQ","EMBEDDED-1330")</f>
        <v>EMBEDDED-1330</v>
      </c>
      <c r="C194" s="1" t="s">
        <v>212</v>
      </c>
      <c r="D194" s="1" t="s">
        <v>14</v>
      </c>
      <c r="E194" s="1" t="s">
        <v>15</v>
      </c>
      <c r="F194" s="1" t="s">
        <v>16</v>
      </c>
      <c r="G194" s="1" t="s">
        <v>17</v>
      </c>
      <c r="H194" s="1" t="s">
        <v>17</v>
      </c>
      <c r="I194" s="3">
        <v>45643.97278935185</v>
      </c>
      <c r="J194" s="3">
        <v>45656.919652777775</v>
      </c>
      <c r="K194" s="4">
        <v>45651.0</v>
      </c>
      <c r="L194" s="1">
        <v>1.0</v>
      </c>
    </row>
    <row r="195">
      <c r="A195" s="1" t="s">
        <v>12</v>
      </c>
      <c r="B195" s="2" t="str">
        <f>HYPERLINK("https://bihardware.atlassian.net/browse/EMBEDDED-1331?atlOrigin=eyJpIjoiYzgwYTQ0ZjEyNzQzNGJhN2JmNjEyZTM0NmRhZWZhNjIiLCJwIjoic2hlZXRzLWppcmEifQ","EMBEDDED-1331")</f>
        <v>EMBEDDED-1331</v>
      </c>
      <c r="C195" s="1" t="s">
        <v>213</v>
      </c>
      <c r="D195" s="1" t="s">
        <v>14</v>
      </c>
      <c r="E195" s="1" t="s">
        <v>15</v>
      </c>
      <c r="F195" s="1" t="s">
        <v>16</v>
      </c>
      <c r="G195" s="1" t="s">
        <v>17</v>
      </c>
      <c r="H195" s="1" t="s">
        <v>17</v>
      </c>
      <c r="I195" s="3">
        <v>45644.14672453704</v>
      </c>
      <c r="J195" s="3">
        <v>45645.063159722224</v>
      </c>
      <c r="K195" s="4">
        <v>45651.0</v>
      </c>
      <c r="L195" s="1">
        <v>1.0</v>
      </c>
    </row>
    <row r="196">
      <c r="A196" s="1" t="s">
        <v>12</v>
      </c>
      <c r="B196" s="2" t="str">
        <f>HYPERLINK("https://bihardware.atlassian.net/browse/EMBEDDED-1333?atlOrigin=eyJpIjoiYzgwYTQ0ZjEyNzQzNGJhN2JmNjEyZTM0NmRhZWZhNjIiLCJwIjoic2hlZXRzLWppcmEifQ","EMBEDDED-1333")</f>
        <v>EMBEDDED-1333</v>
      </c>
      <c r="C196" s="1" t="s">
        <v>214</v>
      </c>
      <c r="D196" s="1" t="s">
        <v>14</v>
      </c>
      <c r="E196" s="1" t="s">
        <v>15</v>
      </c>
      <c r="F196" s="1" t="s">
        <v>120</v>
      </c>
      <c r="G196" s="1" t="s">
        <v>17</v>
      </c>
      <c r="H196" s="1" t="s">
        <v>17</v>
      </c>
      <c r="I196" s="3">
        <v>45646.08765046296</v>
      </c>
      <c r="J196" s="3">
        <v>45833.99827546296</v>
      </c>
      <c r="K196" s="4">
        <v>45653.0</v>
      </c>
      <c r="L196" s="1">
        <v>2.0</v>
      </c>
    </row>
    <row r="197">
      <c r="A197" s="1" t="s">
        <v>12</v>
      </c>
      <c r="B197" s="2" t="str">
        <f>HYPERLINK("https://bihardware.atlassian.net/browse/EMBEDDED-1336?atlOrigin=eyJpIjoiYzgwYTQ0ZjEyNzQzNGJhN2JmNjEyZTM0NmRhZWZhNjIiLCJwIjoic2hlZXRzLWppcmEifQ","EMBEDDED-1336")</f>
        <v>EMBEDDED-1336</v>
      </c>
      <c r="C197" s="1" t="s">
        <v>215</v>
      </c>
      <c r="D197" s="1" t="s">
        <v>14</v>
      </c>
      <c r="E197" s="1" t="s">
        <v>15</v>
      </c>
      <c r="F197" s="1" t="s">
        <v>16</v>
      </c>
      <c r="G197" s="1" t="s">
        <v>17</v>
      </c>
      <c r="H197" s="1" t="s">
        <v>17</v>
      </c>
      <c r="I197" s="3">
        <v>45646.19546296296</v>
      </c>
      <c r="J197" s="3">
        <v>45706.053923611114</v>
      </c>
      <c r="K197" s="4">
        <v>45653.0</v>
      </c>
      <c r="L197" s="1">
        <v>1.0</v>
      </c>
    </row>
    <row r="198">
      <c r="A198" s="1" t="s">
        <v>12</v>
      </c>
      <c r="B198" s="2" t="str">
        <f>HYPERLINK("https://bihardware.atlassian.net/browse/EMBEDDED-1338?atlOrigin=eyJpIjoiYzgwYTQ0ZjEyNzQzNGJhN2JmNjEyZTM0NmRhZWZhNjIiLCJwIjoic2hlZXRzLWppcmEifQ","EMBEDDED-1338")</f>
        <v>EMBEDDED-1338</v>
      </c>
      <c r="C198" s="1" t="s">
        <v>216</v>
      </c>
      <c r="D198" s="1" t="s">
        <v>14</v>
      </c>
      <c r="E198" s="1" t="s">
        <v>15</v>
      </c>
      <c r="F198" s="1" t="s">
        <v>16</v>
      </c>
      <c r="G198" s="1" t="s">
        <v>17</v>
      </c>
      <c r="H198" s="1" t="s">
        <v>17</v>
      </c>
      <c r="I198" s="3">
        <v>45651.03055555555</v>
      </c>
      <c r="J198" s="3">
        <v>45673.09244212963</v>
      </c>
      <c r="K198" s="4">
        <v>45658.0</v>
      </c>
      <c r="L198" s="1">
        <v>1.0</v>
      </c>
    </row>
    <row r="199">
      <c r="A199" s="1" t="s">
        <v>12</v>
      </c>
      <c r="B199" s="2" t="str">
        <f>HYPERLINK("https://bihardware.atlassian.net/browse/EMBEDDED-1341?atlOrigin=eyJpIjoiYzgwYTQ0ZjEyNzQzNGJhN2JmNjEyZTM0NmRhZWZhNjIiLCJwIjoic2hlZXRzLWppcmEifQ","EMBEDDED-1341")</f>
        <v>EMBEDDED-1341</v>
      </c>
      <c r="C199" s="1" t="s">
        <v>217</v>
      </c>
      <c r="D199" s="1" t="s">
        <v>14</v>
      </c>
      <c r="E199" s="1" t="s">
        <v>15</v>
      </c>
      <c r="F199" s="1" t="s">
        <v>16</v>
      </c>
      <c r="G199" s="1" t="s">
        <v>218</v>
      </c>
      <c r="H199" s="1" t="s">
        <v>18</v>
      </c>
      <c r="I199" s="3">
        <v>45656.95149305555</v>
      </c>
      <c r="J199" s="3">
        <v>45705.89934027778</v>
      </c>
      <c r="K199" s="4">
        <v>45664.0</v>
      </c>
      <c r="L199" s="1">
        <v>1.0</v>
      </c>
    </row>
    <row r="200">
      <c r="A200" s="1" t="s">
        <v>12</v>
      </c>
      <c r="B200" s="2" t="str">
        <f>HYPERLINK("https://bihardware.atlassian.net/browse/EMBEDDED-1370?atlOrigin=eyJpIjoiYzgwYTQ0ZjEyNzQzNGJhN2JmNjEyZTM0NmRhZWZhNjIiLCJwIjoic2hlZXRzLWppcmEifQ","EMBEDDED-1370")</f>
        <v>EMBEDDED-1370</v>
      </c>
      <c r="C200" s="1" t="s">
        <v>219</v>
      </c>
      <c r="D200" s="1" t="s">
        <v>14</v>
      </c>
      <c r="E200" s="1" t="s">
        <v>220</v>
      </c>
      <c r="F200" s="1" t="s">
        <v>16</v>
      </c>
      <c r="G200" s="1" t="s">
        <v>17</v>
      </c>
      <c r="H200" s="1" t="s">
        <v>17</v>
      </c>
      <c r="I200" s="3">
        <v>45673.10255787037</v>
      </c>
      <c r="J200" s="3">
        <v>45855.111122685186</v>
      </c>
      <c r="K200" s="4">
        <v>45680.0</v>
      </c>
      <c r="L200" s="1">
        <v>1.0</v>
      </c>
    </row>
    <row r="201">
      <c r="A201" s="1" t="s">
        <v>12</v>
      </c>
      <c r="B201" s="2" t="str">
        <f>HYPERLINK("https://bihardware.atlassian.net/browse/EMBEDDED-1371?atlOrigin=eyJpIjoiYzgwYTQ0ZjEyNzQzNGJhN2JmNjEyZTM0NmRhZWZhNjIiLCJwIjoic2hlZXRzLWppcmEifQ","EMBEDDED-1371")</f>
        <v>EMBEDDED-1371</v>
      </c>
      <c r="C201" s="1" t="s">
        <v>221</v>
      </c>
      <c r="D201" s="1" t="s">
        <v>14</v>
      </c>
      <c r="E201" s="1" t="s">
        <v>15</v>
      </c>
      <c r="F201" s="1" t="s">
        <v>120</v>
      </c>
      <c r="G201" s="1" t="s">
        <v>17</v>
      </c>
      <c r="H201" s="1" t="s">
        <v>17</v>
      </c>
      <c r="I201" s="3">
        <v>45674.94398148148</v>
      </c>
      <c r="J201" s="3">
        <v>45676.94818287037</v>
      </c>
      <c r="K201" s="4">
        <v>45682.0</v>
      </c>
      <c r="L201" s="1">
        <v>1.0</v>
      </c>
    </row>
    <row r="202">
      <c r="A202" s="1" t="s">
        <v>12</v>
      </c>
      <c r="B202" s="2" t="str">
        <f>HYPERLINK("https://bihardware.atlassian.net/browse/EMBEDDED-1375?atlOrigin=eyJpIjoiYzgwYTQ0ZjEyNzQzNGJhN2JmNjEyZTM0NmRhZWZhNjIiLCJwIjoic2hlZXRzLWppcmEifQ","EMBEDDED-1375")</f>
        <v>EMBEDDED-1375</v>
      </c>
      <c r="C202" s="1" t="s">
        <v>222</v>
      </c>
      <c r="D202" s="1" t="s">
        <v>14</v>
      </c>
      <c r="E202" s="1" t="s">
        <v>15</v>
      </c>
      <c r="F202" s="1" t="s">
        <v>84</v>
      </c>
      <c r="G202" s="1" t="s">
        <v>17</v>
      </c>
      <c r="H202" s="1" t="s">
        <v>17</v>
      </c>
      <c r="I202" s="3">
        <v>45675.12337962963</v>
      </c>
      <c r="J202" s="3">
        <v>45834.00005787037</v>
      </c>
      <c r="K202" s="4">
        <v>45682.0</v>
      </c>
      <c r="L202" s="1">
        <v>1.0</v>
      </c>
    </row>
    <row r="203">
      <c r="A203" s="1" t="s">
        <v>12</v>
      </c>
      <c r="B203" s="2" t="str">
        <f>HYPERLINK("https://bihardware.atlassian.net/browse/EMBEDDED-1376?atlOrigin=eyJpIjoiYzgwYTQ0ZjEyNzQzNGJhN2JmNjEyZTM0NmRhZWZhNjIiLCJwIjoic2hlZXRzLWppcmEifQ","EMBEDDED-1376")</f>
        <v>EMBEDDED-1376</v>
      </c>
      <c r="C203" s="1" t="s">
        <v>223</v>
      </c>
      <c r="D203" s="1" t="s">
        <v>14</v>
      </c>
      <c r="E203" s="1" t="s">
        <v>15</v>
      </c>
      <c r="F203" s="1" t="s">
        <v>84</v>
      </c>
      <c r="G203" s="1" t="s">
        <v>17</v>
      </c>
      <c r="H203" s="1" t="s">
        <v>17</v>
      </c>
      <c r="I203" s="3">
        <v>45676.9699537037</v>
      </c>
      <c r="J203" s="3">
        <v>45678.186793981484</v>
      </c>
      <c r="K203" s="4">
        <v>45684.0</v>
      </c>
      <c r="L203" s="1">
        <v>2.0</v>
      </c>
    </row>
    <row r="204">
      <c r="A204" s="1" t="s">
        <v>12</v>
      </c>
      <c r="B204" s="2" t="str">
        <f>HYPERLINK("https://bihardware.atlassian.net/browse/EMBEDDED-1378?atlOrigin=eyJpIjoiYzgwYTQ0ZjEyNzQzNGJhN2JmNjEyZTM0NmRhZWZhNjIiLCJwIjoic2hlZXRzLWppcmEifQ","EMBEDDED-1378")</f>
        <v>EMBEDDED-1378</v>
      </c>
      <c r="C204" s="1" t="s">
        <v>224</v>
      </c>
      <c r="D204" s="1" t="s">
        <v>14</v>
      </c>
      <c r="E204" s="1" t="s">
        <v>15</v>
      </c>
      <c r="F204" s="1" t="s">
        <v>16</v>
      </c>
      <c r="G204" s="1" t="s">
        <v>17</v>
      </c>
      <c r="H204" s="1" t="s">
        <v>17</v>
      </c>
      <c r="I204" s="3">
        <v>45677.122824074075</v>
      </c>
      <c r="J204" s="3">
        <v>45697.97447916667</v>
      </c>
      <c r="K204" s="4">
        <v>45684.0</v>
      </c>
      <c r="L204" s="1">
        <v>1.0</v>
      </c>
    </row>
    <row r="205">
      <c r="A205" s="1" t="s">
        <v>12</v>
      </c>
      <c r="B205" s="2" t="str">
        <f>HYPERLINK("https://bihardware.atlassian.net/browse/EMBEDDED-1379?atlOrigin=eyJpIjoiYzgwYTQ0ZjEyNzQzNGJhN2JmNjEyZTM0NmRhZWZhNjIiLCJwIjoic2hlZXRzLWppcmEifQ","EMBEDDED-1379")</f>
        <v>EMBEDDED-1379</v>
      </c>
      <c r="C205" s="1" t="s">
        <v>225</v>
      </c>
      <c r="D205" s="1" t="s">
        <v>14</v>
      </c>
      <c r="E205" s="1" t="s">
        <v>15</v>
      </c>
      <c r="F205" s="1" t="s">
        <v>84</v>
      </c>
      <c r="G205" s="1" t="s">
        <v>17</v>
      </c>
      <c r="H205" s="1" t="s">
        <v>17</v>
      </c>
      <c r="I205" s="3">
        <v>45677.20060185185</v>
      </c>
      <c r="J205" s="3">
        <v>45698.083599537036</v>
      </c>
      <c r="K205" s="4">
        <v>45684.0</v>
      </c>
      <c r="L205" s="1">
        <v>2.0</v>
      </c>
    </row>
    <row r="206">
      <c r="A206" s="1" t="s">
        <v>12</v>
      </c>
      <c r="B206" s="2" t="str">
        <f>HYPERLINK("https://bihardware.atlassian.net/browse/EMBEDDED-1407?atlOrigin=eyJpIjoiYzgwYTQ0ZjEyNzQzNGJhN2JmNjEyZTM0NmRhZWZhNjIiLCJwIjoic2hlZXRzLWppcmEifQ","EMBEDDED-1407")</f>
        <v>EMBEDDED-1407</v>
      </c>
      <c r="C206" s="1" t="s">
        <v>226</v>
      </c>
      <c r="D206" s="1" t="s">
        <v>14</v>
      </c>
      <c r="E206" s="1" t="s">
        <v>15</v>
      </c>
      <c r="F206" s="1" t="s">
        <v>84</v>
      </c>
      <c r="G206" s="1" t="s">
        <v>17</v>
      </c>
      <c r="H206" s="1" t="s">
        <v>17</v>
      </c>
      <c r="I206" s="3">
        <v>45685.128125</v>
      </c>
      <c r="J206" s="3">
        <v>45697.97244212963</v>
      </c>
      <c r="K206" s="4">
        <v>45692.0</v>
      </c>
      <c r="L206" s="1">
        <v>1.0</v>
      </c>
    </row>
    <row r="207">
      <c r="A207" s="1" t="s">
        <v>12</v>
      </c>
      <c r="B207" s="2" t="str">
        <f>HYPERLINK("https://bihardware.atlassian.net/browse/EMBEDDED-1433?atlOrigin=eyJpIjoiYzgwYTQ0ZjEyNzQzNGJhN2JmNjEyZTM0NmRhZWZhNjIiLCJwIjoic2hlZXRzLWppcmEifQ","EMBEDDED-1433")</f>
        <v>EMBEDDED-1433</v>
      </c>
      <c r="C207" s="1" t="s">
        <v>227</v>
      </c>
      <c r="D207" s="1" t="s">
        <v>14</v>
      </c>
      <c r="E207" s="1" t="s">
        <v>228</v>
      </c>
      <c r="F207" s="1" t="s">
        <v>16</v>
      </c>
      <c r="G207" s="1" t="s">
        <v>17</v>
      </c>
      <c r="H207" s="1" t="s">
        <v>17</v>
      </c>
      <c r="I207" s="3">
        <v>45692.88636574074</v>
      </c>
      <c r="J207" s="3">
        <v>45706.044328703705</v>
      </c>
      <c r="K207" s="4">
        <v>45707.0</v>
      </c>
      <c r="L207" s="1">
        <v>1.0</v>
      </c>
    </row>
    <row r="208">
      <c r="A208" s="1" t="s">
        <v>12</v>
      </c>
      <c r="B208" s="2" t="str">
        <f>HYPERLINK("https://bihardware.atlassian.net/browse/EMBEDDED-1434?atlOrigin=eyJpIjoiYzgwYTQ0ZjEyNzQzNGJhN2JmNjEyZTM0NmRhZWZhNjIiLCJwIjoic2hlZXRzLWppcmEifQ","EMBEDDED-1434")</f>
        <v>EMBEDDED-1434</v>
      </c>
      <c r="C208" s="1" t="s">
        <v>229</v>
      </c>
      <c r="D208" s="1" t="s">
        <v>14</v>
      </c>
      <c r="E208" s="1" t="s">
        <v>228</v>
      </c>
      <c r="F208" s="1" t="s">
        <v>16</v>
      </c>
      <c r="G208" s="1" t="s">
        <v>17</v>
      </c>
      <c r="H208" s="1" t="s">
        <v>17</v>
      </c>
      <c r="I208" s="3">
        <v>45692.95342592592</v>
      </c>
      <c r="J208" s="3">
        <v>45706.04349537037</v>
      </c>
      <c r="K208" s="4">
        <v>45707.0</v>
      </c>
      <c r="L208" s="1">
        <v>1.0</v>
      </c>
    </row>
    <row r="209">
      <c r="A209" s="1" t="s">
        <v>12</v>
      </c>
      <c r="B209" s="2" t="str">
        <f>HYPERLINK("https://bihardware.atlassian.net/browse/EMBEDDED-1459?atlOrigin=eyJpIjoiYzgwYTQ0ZjEyNzQzNGJhN2JmNjEyZTM0NmRhZWZhNjIiLCJwIjoic2hlZXRzLWppcmEifQ","EMBEDDED-1459")</f>
        <v>EMBEDDED-1459</v>
      </c>
      <c r="C209" s="1" t="s">
        <v>230</v>
      </c>
      <c r="D209" s="1" t="s">
        <v>14</v>
      </c>
      <c r="E209" s="1" t="s">
        <v>15</v>
      </c>
      <c r="F209" s="1" t="s">
        <v>84</v>
      </c>
      <c r="G209" s="1" t="s">
        <v>17</v>
      </c>
      <c r="H209" s="1" t="s">
        <v>17</v>
      </c>
      <c r="I209" s="3">
        <v>45694.157476851855</v>
      </c>
      <c r="J209" s="3">
        <v>45705.89981481482</v>
      </c>
      <c r="K209" s="4">
        <v>45701.0</v>
      </c>
      <c r="L209" s="1">
        <v>1.0</v>
      </c>
    </row>
    <row r="210">
      <c r="A210" s="1" t="s">
        <v>12</v>
      </c>
      <c r="B210" s="2" t="str">
        <f>HYPERLINK("https://bihardware.atlassian.net/browse/EMBEDDED-1460?atlOrigin=eyJpIjoiYzgwYTQ0ZjEyNzQzNGJhN2JmNjEyZTM0NmRhZWZhNjIiLCJwIjoic2hlZXRzLWppcmEifQ","EMBEDDED-1460")</f>
        <v>EMBEDDED-1460</v>
      </c>
      <c r="C210" s="1" t="s">
        <v>231</v>
      </c>
      <c r="D210" s="1" t="s">
        <v>14</v>
      </c>
      <c r="E210" s="1" t="s">
        <v>15</v>
      </c>
      <c r="F210" s="1" t="s">
        <v>84</v>
      </c>
      <c r="G210" s="1" t="s">
        <v>17</v>
      </c>
      <c r="H210" s="1" t="s">
        <v>17</v>
      </c>
      <c r="I210" s="3">
        <v>45694.186319444445</v>
      </c>
      <c r="J210" s="3">
        <v>45705.90798611111</v>
      </c>
      <c r="K210" s="4">
        <v>45701.0</v>
      </c>
      <c r="L210" s="1">
        <v>1.0</v>
      </c>
    </row>
    <row r="211">
      <c r="A211" s="1" t="s">
        <v>12</v>
      </c>
      <c r="B211" s="2" t="str">
        <f>HYPERLINK("https://bihardware.atlassian.net/browse/EMBEDDED-1461?atlOrigin=eyJpIjoiYzgwYTQ0ZjEyNzQzNGJhN2JmNjEyZTM0NmRhZWZhNjIiLCJwIjoic2hlZXRzLWppcmEifQ","EMBEDDED-1461")</f>
        <v>EMBEDDED-1461</v>
      </c>
      <c r="C211" s="1" t="s">
        <v>232</v>
      </c>
      <c r="D211" s="1" t="s">
        <v>14</v>
      </c>
      <c r="E211" s="1" t="s">
        <v>15</v>
      </c>
      <c r="F211" s="1" t="s">
        <v>84</v>
      </c>
      <c r="G211" s="1" t="s">
        <v>17</v>
      </c>
      <c r="H211" s="1" t="s">
        <v>17</v>
      </c>
      <c r="I211" s="3">
        <v>45696.091782407406</v>
      </c>
      <c r="J211" s="3">
        <v>45698.08299768518</v>
      </c>
      <c r="K211" s="4">
        <v>45703.0</v>
      </c>
      <c r="L211" s="1">
        <v>1.0</v>
      </c>
    </row>
    <row r="212">
      <c r="A212" s="1" t="s">
        <v>12</v>
      </c>
      <c r="B212" s="2" t="str">
        <f>HYPERLINK("https://bihardware.atlassian.net/browse/EMBEDDED-1462?atlOrigin=eyJpIjoiYzgwYTQ0ZjEyNzQzNGJhN2JmNjEyZTM0NmRhZWZhNjIiLCJwIjoic2hlZXRzLWppcmEifQ","EMBEDDED-1462")</f>
        <v>EMBEDDED-1462</v>
      </c>
      <c r="C212" s="1" t="s">
        <v>233</v>
      </c>
      <c r="D212" s="1" t="s">
        <v>14</v>
      </c>
      <c r="E212" s="1" t="s">
        <v>15</v>
      </c>
      <c r="F212" s="1" t="s">
        <v>16</v>
      </c>
      <c r="G212" s="1" t="s">
        <v>17</v>
      </c>
      <c r="H212" s="1" t="s">
        <v>17</v>
      </c>
      <c r="I212" s="3">
        <v>45696.157638888886</v>
      </c>
      <c r="J212" s="3">
        <v>45698.11592592593</v>
      </c>
      <c r="K212" s="4">
        <v>45703.0</v>
      </c>
      <c r="L212" s="1">
        <v>3.0</v>
      </c>
    </row>
    <row r="213">
      <c r="A213" s="1" t="s">
        <v>12</v>
      </c>
      <c r="B213" s="2" t="str">
        <f>HYPERLINK("https://bihardware.atlassian.net/browse/EMBEDDED-1463?atlOrigin=eyJpIjoiYzgwYTQ0ZjEyNzQzNGJhN2JmNjEyZTM0NmRhZWZhNjIiLCJwIjoic2hlZXRzLWppcmEifQ","EMBEDDED-1463")</f>
        <v>EMBEDDED-1463</v>
      </c>
      <c r="C213" s="1" t="s">
        <v>234</v>
      </c>
      <c r="D213" s="1" t="s">
        <v>14</v>
      </c>
      <c r="E213" s="1" t="s">
        <v>15</v>
      </c>
      <c r="F213" s="1" t="s">
        <v>16</v>
      </c>
      <c r="G213" s="1" t="s">
        <v>17</v>
      </c>
      <c r="H213" s="1" t="s">
        <v>17</v>
      </c>
      <c r="I213" s="3">
        <v>45697.995405092595</v>
      </c>
      <c r="J213" s="3">
        <v>45741.20229166667</v>
      </c>
      <c r="K213" s="4">
        <v>45705.0</v>
      </c>
      <c r="L213" s="1">
        <v>1.0</v>
      </c>
    </row>
    <row r="214">
      <c r="A214" s="1" t="s">
        <v>12</v>
      </c>
      <c r="B214" s="2" t="str">
        <f>HYPERLINK("https://bihardware.atlassian.net/browse/EMBEDDED-1464?atlOrigin=eyJpIjoiYzgwYTQ0ZjEyNzQzNGJhN2JmNjEyZTM0NmRhZWZhNjIiLCJwIjoic2hlZXRzLWppcmEifQ","EMBEDDED-1464")</f>
        <v>EMBEDDED-1464</v>
      </c>
      <c r="C214" s="1" t="s">
        <v>235</v>
      </c>
      <c r="D214" s="1" t="s">
        <v>14</v>
      </c>
      <c r="E214" s="1" t="s">
        <v>15</v>
      </c>
      <c r="F214" s="1" t="s">
        <v>84</v>
      </c>
      <c r="G214" s="1" t="s">
        <v>17</v>
      </c>
      <c r="H214" s="1" t="s">
        <v>17</v>
      </c>
      <c r="I214" s="3">
        <v>45698.13711805556</v>
      </c>
      <c r="J214" s="3">
        <v>45700.915717592594</v>
      </c>
      <c r="K214" s="4">
        <v>45705.0</v>
      </c>
      <c r="L214" s="1">
        <v>1.0</v>
      </c>
    </row>
    <row r="215">
      <c r="A215" s="1" t="s">
        <v>12</v>
      </c>
      <c r="B215" s="2" t="str">
        <f>HYPERLINK("https://bihardware.atlassian.net/browse/EMBEDDED-1465?atlOrigin=eyJpIjoiYzgwYTQ0ZjEyNzQzNGJhN2JmNjEyZTM0NmRhZWZhNjIiLCJwIjoic2hlZXRzLWppcmEifQ","EMBEDDED-1465")</f>
        <v>EMBEDDED-1465</v>
      </c>
      <c r="C215" s="1" t="s">
        <v>236</v>
      </c>
      <c r="D215" s="1" t="s">
        <v>14</v>
      </c>
      <c r="E215" s="1" t="s">
        <v>15</v>
      </c>
      <c r="F215" s="1" t="s">
        <v>16</v>
      </c>
      <c r="G215" s="1" t="s">
        <v>17</v>
      </c>
      <c r="H215" s="1" t="s">
        <v>17</v>
      </c>
      <c r="I215" s="3">
        <v>45699.170949074076</v>
      </c>
      <c r="J215" s="3">
        <v>45700.0471412037</v>
      </c>
      <c r="K215" s="4">
        <v>45706.0</v>
      </c>
      <c r="L215" s="1">
        <v>1.0</v>
      </c>
    </row>
    <row r="216">
      <c r="A216" s="1" t="s">
        <v>12</v>
      </c>
      <c r="B216" s="2" t="str">
        <f>HYPERLINK("https://bihardware.atlassian.net/browse/EMBEDDED-1466?atlOrigin=eyJpIjoiYzgwYTQ0ZjEyNzQzNGJhN2JmNjEyZTM0NmRhZWZhNjIiLCJwIjoic2hlZXRzLWppcmEifQ","EMBEDDED-1466")</f>
        <v>EMBEDDED-1466</v>
      </c>
      <c r="C216" s="1" t="s">
        <v>237</v>
      </c>
      <c r="D216" s="1" t="s">
        <v>14</v>
      </c>
      <c r="E216" s="1" t="s">
        <v>15</v>
      </c>
      <c r="F216" s="1" t="s">
        <v>16</v>
      </c>
      <c r="G216" s="1" t="s">
        <v>17</v>
      </c>
      <c r="H216" s="1" t="s">
        <v>17</v>
      </c>
      <c r="I216" s="3">
        <v>45700.925775462965</v>
      </c>
      <c r="J216" s="3">
        <v>45741.202893518515</v>
      </c>
      <c r="K216" s="4">
        <v>45708.0</v>
      </c>
      <c r="L216" s="1">
        <v>1.0</v>
      </c>
    </row>
    <row r="217">
      <c r="A217" s="1" t="s">
        <v>12</v>
      </c>
      <c r="B217" s="2" t="str">
        <f>HYPERLINK("https://bihardware.atlassian.net/browse/EMBEDDED-1471?atlOrigin=eyJpIjoiYzgwYTQ0ZjEyNzQzNGJhN2JmNjEyZTM0NmRhZWZhNjIiLCJwIjoic2hlZXRzLWppcmEifQ","EMBEDDED-1471")</f>
        <v>EMBEDDED-1471</v>
      </c>
      <c r="C217" s="1" t="s">
        <v>238</v>
      </c>
      <c r="D217" s="1" t="s">
        <v>14</v>
      </c>
      <c r="E217" s="1" t="s">
        <v>15</v>
      </c>
      <c r="F217" s="1" t="s">
        <v>84</v>
      </c>
      <c r="G217" s="1" t="s">
        <v>17</v>
      </c>
      <c r="H217" s="1" t="s">
        <v>17</v>
      </c>
      <c r="I217" s="3">
        <v>45702.96532407407</v>
      </c>
      <c r="J217" s="3">
        <v>45706.04280092593</v>
      </c>
      <c r="K217" s="4">
        <v>45710.0</v>
      </c>
      <c r="L217" s="1">
        <v>2.0</v>
      </c>
    </row>
    <row r="218">
      <c r="A218" s="1" t="s">
        <v>12</v>
      </c>
      <c r="B218" s="2" t="str">
        <f>HYPERLINK("https://bihardware.atlassian.net/browse/EMBEDDED-1472?atlOrigin=eyJpIjoiYzgwYTQ0ZjEyNzQzNGJhN2JmNjEyZTM0NmRhZWZhNjIiLCJwIjoic2hlZXRzLWppcmEifQ","EMBEDDED-1472")</f>
        <v>EMBEDDED-1472</v>
      </c>
      <c r="C218" s="1" t="s">
        <v>239</v>
      </c>
      <c r="D218" s="1" t="s">
        <v>14</v>
      </c>
      <c r="E218" s="1" t="s">
        <v>15</v>
      </c>
      <c r="F218" s="1" t="s">
        <v>16</v>
      </c>
      <c r="G218" s="1" t="s">
        <v>17</v>
      </c>
      <c r="H218" s="1" t="s">
        <v>17</v>
      </c>
      <c r="I218" s="3">
        <v>45705.08497685185</v>
      </c>
      <c r="J218" s="3">
        <v>45708.18115740741</v>
      </c>
      <c r="K218" s="4">
        <v>45712.0</v>
      </c>
      <c r="L218" s="1">
        <v>1.0</v>
      </c>
    </row>
    <row r="219">
      <c r="A219" s="1" t="s">
        <v>12</v>
      </c>
      <c r="B219" s="2" t="str">
        <f>HYPERLINK("https://bihardware.atlassian.net/browse/EMBEDDED-1473?atlOrigin=eyJpIjoiYzgwYTQ0ZjEyNzQzNGJhN2JmNjEyZTM0NmRhZWZhNjIiLCJwIjoic2hlZXRzLWppcmEifQ","EMBEDDED-1473")</f>
        <v>EMBEDDED-1473</v>
      </c>
      <c r="C219" s="1" t="s">
        <v>240</v>
      </c>
      <c r="D219" s="1" t="s">
        <v>14</v>
      </c>
      <c r="E219" s="1" t="s">
        <v>15</v>
      </c>
      <c r="F219" s="1" t="s">
        <v>16</v>
      </c>
      <c r="G219" s="1" t="s">
        <v>17</v>
      </c>
      <c r="H219" s="1" t="s">
        <v>17</v>
      </c>
      <c r="I219" s="3">
        <v>45711.99990740741</v>
      </c>
      <c r="J219" s="3">
        <v>45741.21135416667</v>
      </c>
      <c r="K219" s="4">
        <v>45719.0</v>
      </c>
      <c r="L219" s="1">
        <v>1.0</v>
      </c>
    </row>
    <row r="220">
      <c r="A220" s="1" t="s">
        <v>12</v>
      </c>
      <c r="B220" s="2" t="str">
        <f>HYPERLINK("https://bihardware.atlassian.net/browse/EMBEDDED-1474?atlOrigin=eyJpIjoiYzgwYTQ0ZjEyNzQzNGJhN2JmNjEyZTM0NmRhZWZhNjIiLCJwIjoic2hlZXRzLWppcmEifQ","EMBEDDED-1474")</f>
        <v>EMBEDDED-1474</v>
      </c>
      <c r="C220" s="1" t="s">
        <v>241</v>
      </c>
      <c r="D220" s="1" t="s">
        <v>14</v>
      </c>
      <c r="E220" s="1" t="s">
        <v>15</v>
      </c>
      <c r="F220" s="1" t="s">
        <v>16</v>
      </c>
      <c r="G220" s="1" t="s">
        <v>17</v>
      </c>
      <c r="H220" s="1" t="s">
        <v>17</v>
      </c>
      <c r="I220" s="3">
        <v>45712.95974537037</v>
      </c>
      <c r="J220" s="3">
        <v>45798.22145833333</v>
      </c>
      <c r="K220" s="4">
        <v>45720.0</v>
      </c>
      <c r="L220" s="1">
        <v>1.0</v>
      </c>
    </row>
    <row r="221">
      <c r="A221" s="1" t="s">
        <v>12</v>
      </c>
      <c r="B221" s="2" t="str">
        <f>HYPERLINK("https://bihardware.atlassian.net/browse/EMBEDDED-1475?atlOrigin=eyJpIjoiYzgwYTQ0ZjEyNzQzNGJhN2JmNjEyZTM0NmRhZWZhNjIiLCJwIjoic2hlZXRzLWppcmEifQ","EMBEDDED-1475")</f>
        <v>EMBEDDED-1475</v>
      </c>
      <c r="C221" s="1" t="s">
        <v>242</v>
      </c>
      <c r="D221" s="1" t="s">
        <v>14</v>
      </c>
      <c r="E221" s="1" t="s">
        <v>15</v>
      </c>
      <c r="F221" s="1" t="s">
        <v>84</v>
      </c>
      <c r="G221" s="1" t="s">
        <v>17</v>
      </c>
      <c r="H221" s="1" t="s">
        <v>17</v>
      </c>
      <c r="I221" s="3">
        <v>45715.05289351852</v>
      </c>
      <c r="J221" s="3">
        <v>45768.026342592595</v>
      </c>
      <c r="K221" s="4">
        <v>45722.0</v>
      </c>
      <c r="L221" s="1">
        <v>1.0</v>
      </c>
    </row>
    <row r="222">
      <c r="A222" s="1" t="s">
        <v>12</v>
      </c>
      <c r="B222" s="2" t="str">
        <f>HYPERLINK("https://bihardware.atlassian.net/browse/EMBEDDED-1476?atlOrigin=eyJpIjoiYzgwYTQ0ZjEyNzQzNGJhN2JmNjEyZTM0NmRhZWZhNjIiLCJwIjoic2hlZXRzLWppcmEifQ","EMBEDDED-1476")</f>
        <v>EMBEDDED-1476</v>
      </c>
      <c r="C222" s="1" t="s">
        <v>243</v>
      </c>
      <c r="D222" s="1" t="s">
        <v>14</v>
      </c>
      <c r="E222" s="1" t="s">
        <v>15</v>
      </c>
      <c r="F222" s="1" t="s">
        <v>16</v>
      </c>
      <c r="G222" s="1" t="s">
        <v>17</v>
      </c>
      <c r="H222" s="1" t="s">
        <v>17</v>
      </c>
      <c r="I222" s="3">
        <v>45726.92744212963</v>
      </c>
      <c r="J222" s="3">
        <v>45741.212488425925</v>
      </c>
      <c r="K222" s="4">
        <v>45734.0</v>
      </c>
      <c r="L222" s="1">
        <v>1.0</v>
      </c>
    </row>
    <row r="223">
      <c r="A223" s="1" t="s">
        <v>12</v>
      </c>
      <c r="B223" s="2" t="str">
        <f>HYPERLINK("https://bihardware.atlassian.net/browse/EMBEDDED-1477?atlOrigin=eyJpIjoiYzgwYTQ0ZjEyNzQzNGJhN2JmNjEyZTM0NmRhZWZhNjIiLCJwIjoic2hlZXRzLWppcmEifQ","EMBEDDED-1477")</f>
        <v>EMBEDDED-1477</v>
      </c>
      <c r="C223" s="1" t="s">
        <v>244</v>
      </c>
      <c r="D223" s="1" t="s">
        <v>14</v>
      </c>
      <c r="E223" s="1" t="s">
        <v>15</v>
      </c>
      <c r="F223" s="1" t="s">
        <v>16</v>
      </c>
      <c r="G223" s="1" t="s">
        <v>17</v>
      </c>
      <c r="H223" s="1" t="s">
        <v>17</v>
      </c>
      <c r="I223" s="3">
        <v>45727.063125</v>
      </c>
      <c r="J223" s="3">
        <v>45852.10287037037</v>
      </c>
      <c r="K223" s="4">
        <v>45734.0</v>
      </c>
      <c r="L223" s="1">
        <v>1.0</v>
      </c>
    </row>
    <row r="224">
      <c r="A224" s="1" t="s">
        <v>12</v>
      </c>
      <c r="B224" s="2" t="str">
        <f>HYPERLINK("https://bihardware.atlassian.net/browse/EMBEDDED-1487?atlOrigin=eyJpIjoiYzgwYTQ0ZjEyNzQzNGJhN2JmNjEyZTM0NmRhZWZhNjIiLCJwIjoic2hlZXRzLWppcmEifQ","EMBEDDED-1487")</f>
        <v>EMBEDDED-1487</v>
      </c>
      <c r="C224" s="1" t="s">
        <v>245</v>
      </c>
      <c r="D224" s="1" t="s">
        <v>14</v>
      </c>
      <c r="E224" s="1" t="s">
        <v>15</v>
      </c>
      <c r="F224" s="1" t="s">
        <v>16</v>
      </c>
      <c r="G224" s="1" t="s">
        <v>17</v>
      </c>
      <c r="H224" s="1" t="s">
        <v>17</v>
      </c>
      <c r="I224" s="3">
        <v>45728.142546296294</v>
      </c>
      <c r="J224" s="3">
        <v>45741.2559837963</v>
      </c>
      <c r="K224" s="4">
        <v>45735.0</v>
      </c>
      <c r="L224" s="1">
        <v>1.0</v>
      </c>
    </row>
    <row r="225">
      <c r="A225" s="1" t="s">
        <v>12</v>
      </c>
      <c r="B225" s="2" t="str">
        <f>HYPERLINK("https://bihardware.atlassian.net/browse/EMBEDDED-1488?atlOrigin=eyJpIjoiYzgwYTQ0ZjEyNzQzNGJhN2JmNjEyZTM0NmRhZWZhNjIiLCJwIjoic2hlZXRzLWppcmEifQ","EMBEDDED-1488")</f>
        <v>EMBEDDED-1488</v>
      </c>
      <c r="C225" s="1" t="s">
        <v>246</v>
      </c>
      <c r="D225" s="1" t="s">
        <v>14</v>
      </c>
      <c r="E225" s="1" t="s">
        <v>15</v>
      </c>
      <c r="F225" s="1" t="s">
        <v>84</v>
      </c>
      <c r="G225" s="1" t="s">
        <v>17</v>
      </c>
      <c r="H225" s="1" t="s">
        <v>17</v>
      </c>
      <c r="I225" s="3">
        <v>45728.202731481484</v>
      </c>
      <c r="J225" s="3">
        <v>45741.22666666667</v>
      </c>
      <c r="K225" s="4">
        <v>45735.0</v>
      </c>
      <c r="L225" s="1">
        <v>1.0</v>
      </c>
    </row>
    <row r="226">
      <c r="A226" s="1" t="s">
        <v>12</v>
      </c>
      <c r="B226" s="2" t="str">
        <f>HYPERLINK("https://bihardware.atlassian.net/browse/EMBEDDED-1489?atlOrigin=eyJpIjoiYzgwYTQ0ZjEyNzQzNGJhN2JmNjEyZTM0NmRhZWZhNjIiLCJwIjoic2hlZXRzLWppcmEifQ","EMBEDDED-1489")</f>
        <v>EMBEDDED-1489</v>
      </c>
      <c r="C226" s="1" t="s">
        <v>247</v>
      </c>
      <c r="D226" s="1" t="s">
        <v>14</v>
      </c>
      <c r="E226" s="1" t="s">
        <v>15</v>
      </c>
      <c r="F226" s="1" t="s">
        <v>16</v>
      </c>
      <c r="G226" s="1" t="s">
        <v>17</v>
      </c>
      <c r="H226" s="1" t="s">
        <v>17</v>
      </c>
      <c r="I226" s="3">
        <v>45729.16601851852</v>
      </c>
      <c r="J226" s="3">
        <v>45855.11168981482</v>
      </c>
      <c r="K226" s="4">
        <v>45736.0</v>
      </c>
      <c r="L226" s="1">
        <v>1.0</v>
      </c>
    </row>
    <row r="227">
      <c r="A227" s="1" t="s">
        <v>12</v>
      </c>
      <c r="B227" s="2" t="str">
        <f>HYPERLINK("https://bihardware.atlassian.net/browse/EMBEDDED-1490?atlOrigin=eyJpIjoiYzgwYTQ0ZjEyNzQzNGJhN2JmNjEyZTM0NmRhZWZhNjIiLCJwIjoic2hlZXRzLWppcmEifQ","EMBEDDED-1490")</f>
        <v>EMBEDDED-1490</v>
      </c>
      <c r="C227" s="1" t="s">
        <v>248</v>
      </c>
      <c r="D227" s="1" t="s">
        <v>14</v>
      </c>
      <c r="E227" s="1" t="s">
        <v>228</v>
      </c>
      <c r="F227" s="1" t="s">
        <v>84</v>
      </c>
      <c r="G227" s="1" t="s">
        <v>17</v>
      </c>
      <c r="H227" s="1" t="s">
        <v>17</v>
      </c>
      <c r="I227" s="3">
        <v>45730.05143518518</v>
      </c>
      <c r="J227" s="3">
        <v>45741.224444444444</v>
      </c>
      <c r="K227" s="4">
        <v>45744.0</v>
      </c>
      <c r="L227" s="1">
        <v>1.0</v>
      </c>
    </row>
    <row r="228">
      <c r="A228" s="1" t="s">
        <v>12</v>
      </c>
      <c r="B228" s="2" t="str">
        <f>HYPERLINK("https://bihardware.atlassian.net/browse/EMBEDDED-1491?atlOrigin=eyJpIjoiYzgwYTQ0ZjEyNzQzNGJhN2JmNjEyZTM0NmRhZWZhNjIiLCJwIjoic2hlZXRzLWppcmEifQ","EMBEDDED-1491")</f>
        <v>EMBEDDED-1491</v>
      </c>
      <c r="C228" s="1" t="s">
        <v>249</v>
      </c>
      <c r="D228" s="1" t="s">
        <v>14</v>
      </c>
      <c r="E228" s="1" t="s">
        <v>15</v>
      </c>
      <c r="F228" s="1" t="s">
        <v>16</v>
      </c>
      <c r="G228" s="1" t="s">
        <v>17</v>
      </c>
      <c r="H228" s="1" t="s">
        <v>17</v>
      </c>
      <c r="I228" s="3">
        <v>45735.97021990741</v>
      </c>
      <c r="J228" s="3">
        <v>45741.227164351854</v>
      </c>
      <c r="K228" s="4">
        <v>45743.0</v>
      </c>
      <c r="L228" s="1">
        <v>1.0</v>
      </c>
    </row>
    <row r="229">
      <c r="A229" s="1" t="s">
        <v>12</v>
      </c>
      <c r="B229" s="2" t="str">
        <f>HYPERLINK("https://bihardware.atlassian.net/browse/EMBEDDED-1492?atlOrigin=eyJpIjoiYzgwYTQ0ZjEyNzQzNGJhN2JmNjEyZTM0NmRhZWZhNjIiLCJwIjoic2hlZXRzLWppcmEifQ","EMBEDDED-1492")</f>
        <v>EMBEDDED-1492</v>
      </c>
      <c r="C229" s="1" t="s">
        <v>250</v>
      </c>
      <c r="D229" s="1" t="s">
        <v>14</v>
      </c>
      <c r="E229" s="1" t="s">
        <v>15</v>
      </c>
      <c r="F229" s="1" t="s">
        <v>16</v>
      </c>
      <c r="G229" s="1" t="s">
        <v>17</v>
      </c>
      <c r="H229" s="1" t="s">
        <v>17</v>
      </c>
      <c r="I229" s="3">
        <v>45736.9621875</v>
      </c>
      <c r="J229" s="3">
        <v>45852.114282407405</v>
      </c>
      <c r="K229" s="4">
        <v>45744.0</v>
      </c>
      <c r="L229" s="1">
        <v>1.0</v>
      </c>
    </row>
    <row r="230">
      <c r="A230" s="1" t="s">
        <v>12</v>
      </c>
      <c r="B230" s="2" t="str">
        <f>HYPERLINK("https://bihardware.atlassian.net/browse/EMBEDDED-1493?atlOrigin=eyJpIjoiYzgwYTQ0ZjEyNzQzNGJhN2JmNjEyZTM0NmRhZWZhNjIiLCJwIjoic2hlZXRzLWppcmEifQ","EMBEDDED-1493")</f>
        <v>EMBEDDED-1493</v>
      </c>
      <c r="C230" s="1" t="s">
        <v>251</v>
      </c>
      <c r="D230" s="1" t="s">
        <v>14</v>
      </c>
      <c r="E230" s="1" t="s">
        <v>15</v>
      </c>
      <c r="F230" s="1" t="s">
        <v>16</v>
      </c>
      <c r="G230" s="1" t="s">
        <v>17</v>
      </c>
      <c r="H230" s="1" t="s">
        <v>17</v>
      </c>
      <c r="I230" s="3">
        <v>45737.14451388889</v>
      </c>
      <c r="J230" s="3">
        <v>45741.24229166667</v>
      </c>
      <c r="K230" s="4">
        <v>45744.0</v>
      </c>
      <c r="L230" s="1">
        <v>1.0</v>
      </c>
    </row>
    <row r="231">
      <c r="A231" s="1" t="s">
        <v>12</v>
      </c>
      <c r="B231" s="2" t="str">
        <f>HYPERLINK("https://bihardware.atlassian.net/browse/EMBEDDED-1496?atlOrigin=eyJpIjoiYzgwYTQ0ZjEyNzQzNGJhN2JmNjEyZTM0NmRhZWZhNjIiLCJwIjoic2hlZXRzLWppcmEifQ","EMBEDDED-1496")</f>
        <v>EMBEDDED-1496</v>
      </c>
      <c r="C231" s="1" t="s">
        <v>252</v>
      </c>
      <c r="D231" s="1" t="s">
        <v>14</v>
      </c>
      <c r="E231" s="1" t="s">
        <v>228</v>
      </c>
      <c r="F231" s="1" t="s">
        <v>16</v>
      </c>
      <c r="G231" s="1" t="s">
        <v>253</v>
      </c>
      <c r="H231" s="1" t="s">
        <v>18</v>
      </c>
      <c r="I231" s="3">
        <v>45741.19766203704</v>
      </c>
      <c r="J231" s="3">
        <v>45756.24417824074</v>
      </c>
      <c r="K231" s="4">
        <v>45680.0</v>
      </c>
      <c r="L231" s="1">
        <v>1.0</v>
      </c>
    </row>
    <row r="232">
      <c r="A232" s="1" t="s">
        <v>12</v>
      </c>
      <c r="B232" s="2" t="str">
        <f>HYPERLINK("https://bihardware.atlassian.net/browse/EMBEDDED-1497?atlOrigin=eyJpIjoiYzgwYTQ0ZjEyNzQzNGJhN2JmNjEyZTM0NmRhZWZhNjIiLCJwIjoic2hlZXRzLWppcmEifQ","EMBEDDED-1497")</f>
        <v>EMBEDDED-1497</v>
      </c>
      <c r="C232" s="1" t="s">
        <v>254</v>
      </c>
      <c r="D232" s="1" t="s">
        <v>14</v>
      </c>
      <c r="E232" s="1" t="s">
        <v>15</v>
      </c>
      <c r="F232" s="1" t="s">
        <v>16</v>
      </c>
      <c r="G232" s="1" t="s">
        <v>17</v>
      </c>
      <c r="H232" s="1" t="s">
        <v>17</v>
      </c>
      <c r="I232" s="3">
        <v>45741.25386574074</v>
      </c>
      <c r="J232" s="3">
        <v>45768.024733796294</v>
      </c>
      <c r="K232" s="4">
        <v>45735.0</v>
      </c>
      <c r="L232" s="1">
        <v>1.0</v>
      </c>
    </row>
    <row r="233">
      <c r="A233" s="1" t="s">
        <v>12</v>
      </c>
      <c r="B233" s="2" t="str">
        <f>HYPERLINK("https://bihardware.atlassian.net/browse/EMBEDDED-1498?atlOrigin=eyJpIjoiYzgwYTQ0ZjEyNzQzNGJhN2JmNjEyZTM0NmRhZWZhNjIiLCJwIjoic2hlZXRzLWppcmEifQ","EMBEDDED-1498")</f>
        <v>EMBEDDED-1498</v>
      </c>
      <c r="C233" s="1" t="s">
        <v>255</v>
      </c>
      <c r="D233" s="1" t="s">
        <v>14</v>
      </c>
      <c r="E233" s="1" t="s">
        <v>15</v>
      </c>
      <c r="F233" s="1" t="s">
        <v>84</v>
      </c>
      <c r="G233" s="1" t="s">
        <v>218</v>
      </c>
      <c r="H233" s="1" t="s">
        <v>18</v>
      </c>
      <c r="I233" s="3">
        <v>45742.02967592593</v>
      </c>
      <c r="J233" s="3">
        <v>45823.909525462965</v>
      </c>
      <c r="K233" s="4">
        <v>45749.0</v>
      </c>
      <c r="L233" s="1">
        <v>1.0</v>
      </c>
    </row>
    <row r="234">
      <c r="A234" s="1" t="s">
        <v>12</v>
      </c>
      <c r="B234" s="2" t="str">
        <f>HYPERLINK("https://bihardware.atlassian.net/browse/EMBEDDED-1499?atlOrigin=eyJpIjoiYzgwYTQ0ZjEyNzQzNGJhN2JmNjEyZTM0NmRhZWZhNjIiLCJwIjoic2hlZXRzLWppcmEifQ","EMBEDDED-1499")</f>
        <v>EMBEDDED-1499</v>
      </c>
      <c r="C234" s="1" t="s">
        <v>256</v>
      </c>
      <c r="D234" s="1" t="s">
        <v>14</v>
      </c>
      <c r="E234" s="1" t="s">
        <v>15</v>
      </c>
      <c r="F234" s="1" t="s">
        <v>16</v>
      </c>
      <c r="G234" s="1" t="s">
        <v>17</v>
      </c>
      <c r="H234" s="1" t="s">
        <v>17</v>
      </c>
      <c r="I234" s="3">
        <v>45743.23743055556</v>
      </c>
      <c r="J234" s="3">
        <v>45793.12440972222</v>
      </c>
      <c r="K234" s="4">
        <v>45750.0</v>
      </c>
      <c r="L234" s="1">
        <v>1.0</v>
      </c>
    </row>
    <row r="235">
      <c r="A235" s="1" t="s">
        <v>12</v>
      </c>
      <c r="B235" s="2" t="str">
        <f>HYPERLINK("https://bihardware.atlassian.net/browse/EMBEDDED-1500?atlOrigin=eyJpIjoiYzgwYTQ0ZjEyNzQzNGJhN2JmNjEyZTM0NmRhZWZhNjIiLCJwIjoic2hlZXRzLWppcmEifQ","EMBEDDED-1500")</f>
        <v>EMBEDDED-1500</v>
      </c>
      <c r="C235" s="1" t="s">
        <v>257</v>
      </c>
      <c r="D235" s="1" t="s">
        <v>14</v>
      </c>
      <c r="E235" s="1" t="s">
        <v>15</v>
      </c>
      <c r="F235" s="1" t="s">
        <v>16</v>
      </c>
      <c r="G235" s="1" t="s">
        <v>253</v>
      </c>
      <c r="H235" s="1" t="s">
        <v>18</v>
      </c>
      <c r="I235" s="3">
        <v>45745.16290509259</v>
      </c>
      <c r="J235" s="3">
        <v>45821.14891203704</v>
      </c>
      <c r="K235" s="4">
        <v>45752.0</v>
      </c>
      <c r="L235" s="1">
        <v>1.0</v>
      </c>
    </row>
    <row r="236">
      <c r="A236" s="1" t="s">
        <v>12</v>
      </c>
      <c r="B236" s="2" t="str">
        <f>HYPERLINK("https://bihardware.atlassian.net/browse/EMBEDDED-1501?atlOrigin=eyJpIjoiYzgwYTQ0ZjEyNzQzNGJhN2JmNjEyZTM0NmRhZWZhNjIiLCJwIjoic2hlZXRzLWppcmEifQ","EMBEDDED-1501")</f>
        <v>EMBEDDED-1501</v>
      </c>
      <c r="C236" s="1" t="s">
        <v>258</v>
      </c>
      <c r="D236" s="1" t="s">
        <v>14</v>
      </c>
      <c r="E236" s="1" t="s">
        <v>15</v>
      </c>
      <c r="F236" s="1" t="s">
        <v>16</v>
      </c>
      <c r="G236" s="1" t="s">
        <v>17</v>
      </c>
      <c r="H236" s="1" t="s">
        <v>17</v>
      </c>
      <c r="I236" s="3">
        <v>45745.179768518516</v>
      </c>
      <c r="J236" s="3">
        <v>45793.18103009259</v>
      </c>
      <c r="K236" s="4">
        <v>45752.0</v>
      </c>
      <c r="L236" s="1">
        <v>1.0</v>
      </c>
    </row>
    <row r="237">
      <c r="A237" s="1" t="s">
        <v>12</v>
      </c>
      <c r="B237" s="2" t="str">
        <f>HYPERLINK("https://bihardware.atlassian.net/browse/EMBEDDED-1502?atlOrigin=eyJpIjoiYzgwYTQ0ZjEyNzQzNGJhN2JmNjEyZTM0NmRhZWZhNjIiLCJwIjoic2hlZXRzLWppcmEifQ","EMBEDDED-1502")</f>
        <v>EMBEDDED-1502</v>
      </c>
      <c r="C237" s="1" t="s">
        <v>259</v>
      </c>
      <c r="D237" s="1" t="s">
        <v>14</v>
      </c>
      <c r="E237" s="1" t="s">
        <v>15</v>
      </c>
      <c r="F237" s="1" t="s">
        <v>84</v>
      </c>
      <c r="G237" s="1" t="s">
        <v>17</v>
      </c>
      <c r="H237" s="1" t="s">
        <v>17</v>
      </c>
      <c r="I237" s="3">
        <v>45748.022523148145</v>
      </c>
      <c r="J237" s="3">
        <v>45768.02564814815</v>
      </c>
      <c r="K237" s="4">
        <v>45755.0</v>
      </c>
      <c r="L237" s="1">
        <v>1.0</v>
      </c>
    </row>
    <row r="238">
      <c r="A238" s="1" t="s">
        <v>12</v>
      </c>
      <c r="B238" s="2" t="str">
        <f>HYPERLINK("https://bihardware.atlassian.net/browse/EMBEDDED-1518?atlOrigin=eyJpIjoiYzgwYTQ0ZjEyNzQzNGJhN2JmNjEyZTM0NmRhZWZhNjIiLCJwIjoic2hlZXRzLWppcmEifQ","EMBEDDED-1518")</f>
        <v>EMBEDDED-1518</v>
      </c>
      <c r="C238" s="1" t="s">
        <v>260</v>
      </c>
      <c r="D238" s="1" t="s">
        <v>14</v>
      </c>
      <c r="E238" s="1" t="s">
        <v>15</v>
      </c>
      <c r="F238" s="1" t="s">
        <v>16</v>
      </c>
      <c r="G238" s="1" t="s">
        <v>17</v>
      </c>
      <c r="H238" s="1" t="s">
        <v>17</v>
      </c>
      <c r="I238" s="3">
        <v>45761.26157407407</v>
      </c>
      <c r="J238" s="3">
        <v>45834.003912037035</v>
      </c>
      <c r="K238" s="4">
        <v>45768.0</v>
      </c>
      <c r="L238" s="1">
        <v>1.0</v>
      </c>
    </row>
    <row r="239">
      <c r="A239" s="1" t="s">
        <v>12</v>
      </c>
      <c r="B239" s="2" t="str">
        <f>HYPERLINK("https://bihardware.atlassian.net/browse/EMBEDDED-1519?atlOrigin=eyJpIjoiYzgwYTQ0ZjEyNzQzNGJhN2JmNjEyZTM0NmRhZWZhNjIiLCJwIjoic2hlZXRzLWppcmEifQ","EMBEDDED-1519")</f>
        <v>EMBEDDED-1519</v>
      </c>
      <c r="C239" s="1" t="s">
        <v>261</v>
      </c>
      <c r="D239" s="1" t="s">
        <v>14</v>
      </c>
      <c r="E239" s="1" t="s">
        <v>15</v>
      </c>
      <c r="F239" s="1" t="s">
        <v>16</v>
      </c>
      <c r="G239" s="1" t="s">
        <v>253</v>
      </c>
      <c r="H239" s="1" t="s">
        <v>18</v>
      </c>
      <c r="I239" s="3">
        <v>45766.04200231482</v>
      </c>
      <c r="J239" s="3">
        <v>45792.14195601852</v>
      </c>
      <c r="K239" s="4">
        <v>45773.0</v>
      </c>
      <c r="L239" s="1">
        <v>1.0</v>
      </c>
    </row>
    <row r="240">
      <c r="A240" s="1" t="s">
        <v>12</v>
      </c>
      <c r="B240" s="2" t="str">
        <f>HYPERLINK("https://bihardware.atlassian.net/browse/EMBEDDED-1521?atlOrigin=eyJpIjoiYzgwYTQ0ZjEyNzQzNGJhN2JmNjEyZTM0NmRhZWZhNjIiLCJwIjoic2hlZXRzLWppcmEifQ","EMBEDDED-1521")</f>
        <v>EMBEDDED-1521</v>
      </c>
      <c r="C240" s="1" t="s">
        <v>262</v>
      </c>
      <c r="D240" s="1" t="s">
        <v>14</v>
      </c>
      <c r="E240" s="1" t="s">
        <v>15</v>
      </c>
      <c r="F240" s="1" t="s">
        <v>16</v>
      </c>
      <c r="G240" s="1" t="s">
        <v>17</v>
      </c>
      <c r="H240" s="1" t="s">
        <v>17</v>
      </c>
      <c r="I240" s="3">
        <v>45779.09478009259</v>
      </c>
      <c r="J240" s="3">
        <v>45793.18261574074</v>
      </c>
      <c r="K240" s="4">
        <v>45786.0</v>
      </c>
      <c r="L240" s="1">
        <v>1.0</v>
      </c>
    </row>
    <row r="241">
      <c r="A241" s="1" t="s">
        <v>12</v>
      </c>
      <c r="B241" s="2" t="str">
        <f>HYPERLINK("https://bihardware.atlassian.net/browse/EMBEDDED-1522?atlOrigin=eyJpIjoiYzgwYTQ0ZjEyNzQzNGJhN2JmNjEyZTM0NmRhZWZhNjIiLCJwIjoic2hlZXRzLWppcmEifQ","EMBEDDED-1522")</f>
        <v>EMBEDDED-1522</v>
      </c>
      <c r="C241" s="1" t="s">
        <v>263</v>
      </c>
      <c r="D241" s="1" t="s">
        <v>14</v>
      </c>
      <c r="E241" s="1" t="s">
        <v>15</v>
      </c>
      <c r="F241" s="1" t="s">
        <v>16</v>
      </c>
      <c r="G241" s="1" t="s">
        <v>17</v>
      </c>
      <c r="H241" s="1" t="s">
        <v>17</v>
      </c>
      <c r="I241" s="3">
        <v>45779.181435185186</v>
      </c>
      <c r="J241" s="3">
        <v>45793.23255787037</v>
      </c>
      <c r="K241" s="4">
        <v>45786.0</v>
      </c>
      <c r="L241" s="1">
        <v>1.0</v>
      </c>
    </row>
    <row r="242">
      <c r="A242" s="1" t="s">
        <v>12</v>
      </c>
      <c r="B242" s="2" t="str">
        <f>HYPERLINK("https://bihardware.atlassian.net/browse/EMBEDDED-1523?atlOrigin=eyJpIjoiYzgwYTQ0ZjEyNzQzNGJhN2JmNjEyZTM0NmRhZWZhNjIiLCJwIjoic2hlZXRzLWppcmEifQ","EMBEDDED-1523")</f>
        <v>EMBEDDED-1523</v>
      </c>
      <c r="C242" s="1" t="s">
        <v>264</v>
      </c>
      <c r="D242" s="1" t="s">
        <v>14</v>
      </c>
      <c r="E242" s="1" t="s">
        <v>15</v>
      </c>
      <c r="F242" s="1" t="s">
        <v>16</v>
      </c>
      <c r="G242" s="1" t="s">
        <v>17</v>
      </c>
      <c r="H242" s="1" t="s">
        <v>17</v>
      </c>
      <c r="I242" s="3">
        <v>45781.99820601852</v>
      </c>
      <c r="J242" s="3">
        <v>45798.217465277776</v>
      </c>
      <c r="K242" s="4">
        <v>45789.0</v>
      </c>
      <c r="L242" s="1">
        <v>1.0</v>
      </c>
    </row>
    <row r="243">
      <c r="A243" s="1" t="s">
        <v>12</v>
      </c>
      <c r="B243" s="2" t="str">
        <f>HYPERLINK("https://bihardware.atlassian.net/browse/EMBEDDED-1524?atlOrigin=eyJpIjoiYzgwYTQ0ZjEyNzQzNGJhN2JmNjEyZTM0NmRhZWZhNjIiLCJwIjoic2hlZXRzLWppcmEifQ","EMBEDDED-1524")</f>
        <v>EMBEDDED-1524</v>
      </c>
      <c r="C243" s="1" t="s">
        <v>265</v>
      </c>
      <c r="D243" s="1" t="s">
        <v>14</v>
      </c>
      <c r="E243" s="1" t="s">
        <v>15</v>
      </c>
      <c r="F243" s="1" t="s">
        <v>16</v>
      </c>
      <c r="G243" s="1" t="s">
        <v>17</v>
      </c>
      <c r="H243" s="1" t="s">
        <v>17</v>
      </c>
      <c r="I243" s="3">
        <v>45783.066030092596</v>
      </c>
      <c r="J243" s="3">
        <v>45798.20836805556</v>
      </c>
      <c r="K243" s="4">
        <v>45790.0</v>
      </c>
      <c r="L243" s="1">
        <v>2.0</v>
      </c>
    </row>
    <row r="244">
      <c r="A244" s="1" t="s">
        <v>12</v>
      </c>
      <c r="B244" s="2" t="str">
        <f>HYPERLINK("https://bihardware.atlassian.net/browse/EMBEDDED-1525?atlOrigin=eyJpIjoiYzgwYTQ0ZjEyNzQzNGJhN2JmNjEyZTM0NmRhZWZhNjIiLCJwIjoic2hlZXRzLWppcmEifQ","EMBEDDED-1525")</f>
        <v>EMBEDDED-1525</v>
      </c>
      <c r="C244" s="1" t="s">
        <v>266</v>
      </c>
      <c r="D244" s="1" t="s">
        <v>14</v>
      </c>
      <c r="E244" s="1" t="s">
        <v>15</v>
      </c>
      <c r="F244" s="1" t="s">
        <v>16</v>
      </c>
      <c r="G244" s="1" t="s">
        <v>17</v>
      </c>
      <c r="H244" s="1" t="s">
        <v>17</v>
      </c>
      <c r="I244" s="3">
        <v>45783.08553240741</v>
      </c>
      <c r="J244" s="3">
        <v>45798.20847222222</v>
      </c>
      <c r="K244" s="4">
        <v>45790.0</v>
      </c>
      <c r="L244" s="1">
        <v>1.0</v>
      </c>
    </row>
    <row r="245">
      <c r="A245" s="1" t="s">
        <v>12</v>
      </c>
      <c r="B245" s="2" t="str">
        <f>HYPERLINK("https://bihardware.atlassian.net/browse/EMBEDDED-1526?atlOrigin=eyJpIjoiYzgwYTQ0ZjEyNzQzNGJhN2JmNjEyZTM0NmRhZWZhNjIiLCJwIjoic2hlZXRzLWppcmEifQ","EMBEDDED-1526")</f>
        <v>EMBEDDED-1526</v>
      </c>
      <c r="C245" s="1" t="s">
        <v>267</v>
      </c>
      <c r="D245" s="1" t="s">
        <v>169</v>
      </c>
      <c r="E245" s="1" t="s">
        <v>15</v>
      </c>
      <c r="F245" s="1" t="s">
        <v>84</v>
      </c>
      <c r="G245" s="1" t="s">
        <v>218</v>
      </c>
      <c r="H245" s="1" t="s">
        <v>18</v>
      </c>
      <c r="I245" s="3">
        <v>45785.134305555555</v>
      </c>
      <c r="J245" s="3">
        <v>45785.1343287037</v>
      </c>
      <c r="K245" s="4">
        <v>45792.0</v>
      </c>
      <c r="L245" s="1">
        <v>1.0</v>
      </c>
    </row>
    <row r="246">
      <c r="A246" s="1" t="s">
        <v>12</v>
      </c>
      <c r="B246" s="2" t="str">
        <f>HYPERLINK("https://bihardware.atlassian.net/browse/EMBEDDED-1527?atlOrigin=eyJpIjoiYzgwYTQ0ZjEyNzQzNGJhN2JmNjEyZTM0NmRhZWZhNjIiLCJwIjoic2hlZXRzLWppcmEifQ","EMBEDDED-1527")</f>
        <v>EMBEDDED-1527</v>
      </c>
      <c r="C246" s="1" t="s">
        <v>268</v>
      </c>
      <c r="D246" s="1" t="s">
        <v>14</v>
      </c>
      <c r="E246" s="1" t="s">
        <v>15</v>
      </c>
      <c r="F246" s="1" t="s">
        <v>16</v>
      </c>
      <c r="G246" s="1" t="s">
        <v>253</v>
      </c>
      <c r="H246" s="1" t="s">
        <v>18</v>
      </c>
      <c r="I246" s="3">
        <v>45785.16054398148</v>
      </c>
      <c r="J246" s="3">
        <v>45821.14900462963</v>
      </c>
      <c r="K246" s="4">
        <v>45792.0</v>
      </c>
      <c r="L246" s="1">
        <v>3.0</v>
      </c>
    </row>
    <row r="247">
      <c r="A247" s="1" t="s">
        <v>12</v>
      </c>
      <c r="B247" s="2" t="str">
        <f>HYPERLINK("https://bihardware.atlassian.net/browse/EMBEDDED-1528?atlOrigin=eyJpIjoiYzgwYTQ0ZjEyNzQzNGJhN2JmNjEyZTM0NmRhZWZhNjIiLCJwIjoic2hlZXRzLWppcmEifQ","EMBEDDED-1528")</f>
        <v>EMBEDDED-1528</v>
      </c>
      <c r="C247" s="1" t="s">
        <v>269</v>
      </c>
      <c r="D247" s="1" t="s">
        <v>14</v>
      </c>
      <c r="E247" s="1" t="s">
        <v>15</v>
      </c>
      <c r="F247" s="1" t="s">
        <v>16</v>
      </c>
      <c r="G247" s="1" t="s">
        <v>17</v>
      </c>
      <c r="H247" s="1" t="s">
        <v>17</v>
      </c>
      <c r="I247" s="3">
        <v>45791.146840277775</v>
      </c>
      <c r="J247" s="3">
        <v>45818.19222222222</v>
      </c>
      <c r="K247" s="4">
        <v>45798.0</v>
      </c>
      <c r="L247" s="1">
        <v>1.0</v>
      </c>
    </row>
    <row r="248">
      <c r="A248" s="1" t="s">
        <v>12</v>
      </c>
      <c r="B248" s="2" t="str">
        <f>HYPERLINK("https://bihardware.atlassian.net/browse/EMBEDDED-1529?atlOrigin=eyJpIjoiYzgwYTQ0ZjEyNzQzNGJhN2JmNjEyZTM0NmRhZWZhNjIiLCJwIjoic2hlZXRzLWppcmEifQ","EMBEDDED-1529")</f>
        <v>EMBEDDED-1529</v>
      </c>
      <c r="C248" s="1" t="s">
        <v>270</v>
      </c>
      <c r="D248" s="1" t="s">
        <v>14</v>
      </c>
      <c r="E248" s="1" t="s">
        <v>15</v>
      </c>
      <c r="F248" s="1" t="s">
        <v>16</v>
      </c>
      <c r="G248" s="1" t="s">
        <v>253</v>
      </c>
      <c r="H248" s="1" t="s">
        <v>18</v>
      </c>
      <c r="I248" s="3">
        <v>45796.25819444445</v>
      </c>
      <c r="J248" s="3">
        <v>45799.22300925926</v>
      </c>
      <c r="K248" s="4">
        <v>45803.0</v>
      </c>
      <c r="L248" s="1">
        <v>1.0</v>
      </c>
    </row>
    <row r="249">
      <c r="A249" s="1" t="s">
        <v>12</v>
      </c>
      <c r="B249" s="2" t="str">
        <f>HYPERLINK("https://bihardware.atlassian.net/browse/EMBEDDED-1530?atlOrigin=eyJpIjoiYzgwYTQ0ZjEyNzQzNGJhN2JmNjEyZTM0NmRhZWZhNjIiLCJwIjoic2hlZXRzLWppcmEifQ","EMBEDDED-1530")</f>
        <v>EMBEDDED-1530</v>
      </c>
      <c r="C249" s="1" t="s">
        <v>271</v>
      </c>
      <c r="D249" s="1" t="s">
        <v>14</v>
      </c>
      <c r="E249" s="1" t="s">
        <v>15</v>
      </c>
      <c r="F249" s="1" t="s">
        <v>16</v>
      </c>
      <c r="G249" s="1" t="s">
        <v>17</v>
      </c>
      <c r="H249" s="1" t="s">
        <v>17</v>
      </c>
      <c r="I249" s="3">
        <v>45797.25550925926</v>
      </c>
      <c r="J249" s="3">
        <v>45805.95686342593</v>
      </c>
      <c r="K249" s="4">
        <v>45804.0</v>
      </c>
      <c r="L249" s="1">
        <v>1.0</v>
      </c>
    </row>
    <row r="250">
      <c r="A250" s="1" t="s">
        <v>12</v>
      </c>
      <c r="B250" s="2" t="str">
        <f>HYPERLINK("https://bihardware.atlassian.net/browse/EMBEDDED-1531?atlOrigin=eyJpIjoiYzgwYTQ0ZjEyNzQzNGJhN2JmNjEyZTM0NmRhZWZhNjIiLCJwIjoic2hlZXRzLWppcmEifQ","EMBEDDED-1531")</f>
        <v>EMBEDDED-1531</v>
      </c>
      <c r="C250" s="1" t="s">
        <v>272</v>
      </c>
      <c r="D250" s="1" t="s">
        <v>14</v>
      </c>
      <c r="E250" s="1" t="s">
        <v>15</v>
      </c>
      <c r="F250" s="1" t="s">
        <v>16</v>
      </c>
      <c r="G250" s="1" t="s">
        <v>17</v>
      </c>
      <c r="H250" s="1" t="s">
        <v>17</v>
      </c>
      <c r="I250" s="3">
        <v>45799.23599537037</v>
      </c>
      <c r="J250" s="3">
        <v>45823.92652777778</v>
      </c>
      <c r="K250" s="4">
        <v>45806.0</v>
      </c>
      <c r="L250" s="1">
        <v>2.0</v>
      </c>
    </row>
    <row r="251">
      <c r="A251" s="1" t="s">
        <v>12</v>
      </c>
      <c r="B251" s="2" t="str">
        <f>HYPERLINK("https://bihardware.atlassian.net/browse/EMBEDDED-1532?atlOrigin=eyJpIjoiYzgwYTQ0ZjEyNzQzNGJhN2JmNjEyZTM0NmRhZWZhNjIiLCJwIjoic2hlZXRzLWppcmEifQ","EMBEDDED-1532")</f>
        <v>EMBEDDED-1532</v>
      </c>
      <c r="C251" s="1" t="s">
        <v>273</v>
      </c>
      <c r="D251" s="1" t="s">
        <v>14</v>
      </c>
      <c r="E251" s="1" t="s">
        <v>15</v>
      </c>
      <c r="F251" s="1" t="s">
        <v>16</v>
      </c>
      <c r="G251" s="1" t="s">
        <v>17</v>
      </c>
      <c r="H251" s="1" t="s">
        <v>17</v>
      </c>
      <c r="I251" s="3">
        <v>45805.08850694444</v>
      </c>
      <c r="J251" s="3">
        <v>45823.92702546297</v>
      </c>
      <c r="K251" s="4">
        <v>45812.0</v>
      </c>
      <c r="L251" s="1">
        <v>1.0</v>
      </c>
    </row>
    <row r="252">
      <c r="A252" s="1" t="s">
        <v>12</v>
      </c>
      <c r="B252" s="2" t="str">
        <f>HYPERLINK("https://bihardware.atlassian.net/browse/EMBEDDED-1533?atlOrigin=eyJpIjoiYzgwYTQ0ZjEyNzQzNGJhN2JmNjEyZTM0NmRhZWZhNjIiLCJwIjoic2hlZXRzLWppcmEifQ","EMBEDDED-1533")</f>
        <v>EMBEDDED-1533</v>
      </c>
      <c r="C252" s="1" t="s">
        <v>274</v>
      </c>
      <c r="D252" s="1" t="s">
        <v>14</v>
      </c>
      <c r="E252" s="1" t="s">
        <v>15</v>
      </c>
      <c r="F252" s="1" t="s">
        <v>16</v>
      </c>
      <c r="G252" s="1" t="s">
        <v>17</v>
      </c>
      <c r="H252" s="1" t="s">
        <v>17</v>
      </c>
      <c r="I252" s="3">
        <v>45819.24453703704</v>
      </c>
      <c r="J252" s="3">
        <v>45823.927453703705</v>
      </c>
      <c r="K252" s="4">
        <v>45826.0</v>
      </c>
      <c r="L252" s="1">
        <v>1.0</v>
      </c>
    </row>
    <row r="253">
      <c r="A253" s="1" t="s">
        <v>12</v>
      </c>
      <c r="B253" s="2" t="str">
        <f>HYPERLINK("https://bihardware.atlassian.net/browse/EMBEDDED-1534?atlOrigin=eyJpIjoiYzgwYTQ0ZjEyNzQzNGJhN2JmNjEyZTM0NmRhZWZhNjIiLCJwIjoic2hlZXRzLWppcmEifQ","EMBEDDED-1534")</f>
        <v>EMBEDDED-1534</v>
      </c>
      <c r="C253" s="1" t="s">
        <v>275</v>
      </c>
      <c r="D253" s="1" t="s">
        <v>14</v>
      </c>
      <c r="E253" s="1" t="s">
        <v>15</v>
      </c>
      <c r="F253" s="1" t="s">
        <v>16</v>
      </c>
      <c r="G253" s="1" t="s">
        <v>17</v>
      </c>
      <c r="H253" s="1" t="s">
        <v>17</v>
      </c>
      <c r="I253" s="3">
        <v>45820.10493055556</v>
      </c>
      <c r="J253" s="3">
        <v>45823.92791666667</v>
      </c>
      <c r="K253" s="4">
        <v>45827.0</v>
      </c>
      <c r="L253" s="1">
        <v>1.0</v>
      </c>
    </row>
    <row r="254">
      <c r="A254" s="1" t="s">
        <v>12</v>
      </c>
      <c r="B254" s="2" t="str">
        <f>HYPERLINK("https://bihardware.atlassian.net/browse/EMBEDDED-1535?atlOrigin=eyJpIjoiYzgwYTQ0ZjEyNzQzNGJhN2JmNjEyZTM0NmRhZWZhNjIiLCJwIjoic2hlZXRzLWppcmEifQ","EMBEDDED-1535")</f>
        <v>EMBEDDED-1535</v>
      </c>
      <c r="C254" s="1" t="s">
        <v>276</v>
      </c>
      <c r="D254" s="1" t="s">
        <v>14</v>
      </c>
      <c r="E254" s="1" t="s">
        <v>15</v>
      </c>
      <c r="F254" s="1" t="s">
        <v>16</v>
      </c>
      <c r="G254" s="1" t="s">
        <v>17</v>
      </c>
      <c r="H254" s="1" t="s">
        <v>17</v>
      </c>
      <c r="I254" s="3">
        <v>45820.255381944444</v>
      </c>
      <c r="J254" s="3">
        <v>45852.11802083333</v>
      </c>
      <c r="K254" s="4">
        <v>45827.0</v>
      </c>
      <c r="L254" s="1">
        <v>1.0</v>
      </c>
    </row>
    <row r="255">
      <c r="A255" s="1" t="s">
        <v>12</v>
      </c>
      <c r="B255" s="2" t="str">
        <f>HYPERLINK("https://bihardware.atlassian.net/browse/EMBEDDED-1536?atlOrigin=eyJpIjoiYzgwYTQ0ZjEyNzQzNGJhN2JmNjEyZTM0NmRhZWZhNjIiLCJwIjoic2hlZXRzLWppcmEifQ","EMBEDDED-1536")</f>
        <v>EMBEDDED-1536</v>
      </c>
      <c r="C255" s="1" t="s">
        <v>277</v>
      </c>
      <c r="D255" s="1" t="s">
        <v>169</v>
      </c>
      <c r="E255" s="1" t="s">
        <v>15</v>
      </c>
      <c r="F255" s="1" t="s">
        <v>16</v>
      </c>
      <c r="G255" s="1" t="s">
        <v>218</v>
      </c>
      <c r="H255" s="1" t="s">
        <v>18</v>
      </c>
      <c r="I255" s="3">
        <v>45820.271782407406</v>
      </c>
      <c r="J255" s="3">
        <v>45820.27179398148</v>
      </c>
      <c r="K255" s="4">
        <v>45827.0</v>
      </c>
      <c r="L255" s="1">
        <v>1.0</v>
      </c>
    </row>
    <row r="256">
      <c r="A256" s="1" t="s">
        <v>12</v>
      </c>
      <c r="B256" s="2" t="str">
        <f>HYPERLINK("https://bihardware.atlassian.net/browse/EMBEDDED-1538?atlOrigin=eyJpIjoiYzgwYTQ0ZjEyNzQzNGJhN2JmNjEyZTM0NmRhZWZhNjIiLCJwIjoic2hlZXRzLWppcmEifQ","EMBEDDED-1538")</f>
        <v>EMBEDDED-1538</v>
      </c>
      <c r="C256" s="1" t="s">
        <v>278</v>
      </c>
      <c r="D256" s="1" t="s">
        <v>14</v>
      </c>
      <c r="E256" s="1" t="s">
        <v>15</v>
      </c>
      <c r="F256" s="1" t="s">
        <v>16</v>
      </c>
      <c r="G256" s="1" t="s">
        <v>218</v>
      </c>
      <c r="H256" s="1" t="s">
        <v>18</v>
      </c>
      <c r="I256" s="3">
        <v>45838.03915509259</v>
      </c>
      <c r="J256" s="3">
        <v>45883.10851851852</v>
      </c>
      <c r="K256" s="4">
        <v>45845.0</v>
      </c>
      <c r="L256" s="1">
        <v>1.0</v>
      </c>
    </row>
    <row r="257">
      <c r="A257" s="1" t="s">
        <v>12</v>
      </c>
      <c r="B257" s="2" t="str">
        <f>HYPERLINK("https://bihardware.atlassian.net/browse/EMBEDDED-1542?atlOrigin=eyJpIjoiYzgwYTQ0ZjEyNzQzNGJhN2JmNjEyZTM0NmRhZWZhNjIiLCJwIjoic2hlZXRzLWppcmEifQ","EMBEDDED-1542")</f>
        <v>EMBEDDED-1542</v>
      </c>
      <c r="C257" s="1" t="s">
        <v>279</v>
      </c>
      <c r="D257" s="1" t="s">
        <v>14</v>
      </c>
      <c r="E257" s="1" t="s">
        <v>15</v>
      </c>
      <c r="F257" s="1" t="s">
        <v>16</v>
      </c>
      <c r="G257" s="1" t="s">
        <v>218</v>
      </c>
      <c r="H257" s="1" t="s">
        <v>18</v>
      </c>
      <c r="I257" s="3">
        <v>45839.27993055555</v>
      </c>
      <c r="J257" s="3">
        <v>45882.218622685185</v>
      </c>
      <c r="K257" s="4">
        <v>45846.0</v>
      </c>
      <c r="L257" s="1">
        <v>4.0</v>
      </c>
    </row>
    <row r="258">
      <c r="A258" s="1" t="s">
        <v>12</v>
      </c>
      <c r="B258" s="2" t="str">
        <f>HYPERLINK("https://bihardware.atlassian.net/browse/EMBEDDED-1593?atlOrigin=eyJpIjoiYzgwYTQ0ZjEyNzQzNGJhN2JmNjEyZTM0NmRhZWZhNjIiLCJwIjoic2hlZXRzLWppcmEifQ","EMBEDDED-1593")</f>
        <v>EMBEDDED-1593</v>
      </c>
      <c r="C258" s="1" t="s">
        <v>280</v>
      </c>
      <c r="D258" s="1" t="s">
        <v>14</v>
      </c>
      <c r="E258" s="1" t="s">
        <v>220</v>
      </c>
      <c r="F258" s="1" t="s">
        <v>120</v>
      </c>
      <c r="G258" s="1" t="s">
        <v>218</v>
      </c>
      <c r="H258" s="1" t="s">
        <v>18</v>
      </c>
      <c r="I258" s="3">
        <v>45874.11701388889</v>
      </c>
      <c r="J258" s="3">
        <v>45874.94693287037</v>
      </c>
      <c r="K258" s="4">
        <v>45881.0</v>
      </c>
      <c r="L258" s="1">
        <v>1.0</v>
      </c>
    </row>
    <row r="259">
      <c r="A259" s="1" t="s">
        <v>12</v>
      </c>
      <c r="B259" s="2" t="str">
        <f>HYPERLINK("https://bihardware.atlassian.net/browse/EMBEDDED-1594?atlOrigin=eyJpIjoiYzgwYTQ0ZjEyNzQzNGJhN2JmNjEyZTM0NmRhZWZhNjIiLCJwIjoic2hlZXRzLWppcmEifQ","EMBEDDED-1594")</f>
        <v>EMBEDDED-1594</v>
      </c>
      <c r="C259" s="1" t="s">
        <v>281</v>
      </c>
      <c r="D259" s="1" t="s">
        <v>14</v>
      </c>
      <c r="E259" s="1" t="s">
        <v>220</v>
      </c>
      <c r="F259" s="1" t="s">
        <v>16</v>
      </c>
      <c r="G259" s="1" t="s">
        <v>218</v>
      </c>
      <c r="H259" s="1" t="s">
        <v>18</v>
      </c>
      <c r="I259" s="3">
        <v>45876.26509259259</v>
      </c>
      <c r="J259" s="3">
        <v>45888.05238425926</v>
      </c>
      <c r="K259" s="4">
        <v>45883.0</v>
      </c>
      <c r="L259" s="1">
        <v>1.0</v>
      </c>
    </row>
    <row r="260">
      <c r="A260" s="1" t="s">
        <v>12</v>
      </c>
      <c r="B260" s="2" t="str">
        <f>HYPERLINK("https://bihardware.atlassian.net/browse/EMBEDDED-1596?atlOrigin=eyJpIjoiYzgwYTQ0ZjEyNzQzNGJhN2JmNjEyZTM0NmRhZWZhNjIiLCJwIjoic2hlZXRzLWppcmEifQ","EMBEDDED-1596")</f>
        <v>EMBEDDED-1596</v>
      </c>
      <c r="C260" s="1" t="s">
        <v>282</v>
      </c>
      <c r="D260" s="1" t="s">
        <v>169</v>
      </c>
      <c r="E260" s="1" t="s">
        <v>220</v>
      </c>
      <c r="F260" s="1" t="s">
        <v>84</v>
      </c>
      <c r="G260" s="1" t="s">
        <v>218</v>
      </c>
      <c r="H260" s="1" t="s">
        <v>18</v>
      </c>
      <c r="I260" s="3">
        <v>45880.95905092593</v>
      </c>
      <c r="J260" s="3">
        <v>45882.052083333336</v>
      </c>
      <c r="K260" s="4">
        <v>45888.0</v>
      </c>
      <c r="L260" s="1">
        <v>1.0</v>
      </c>
    </row>
    <row r="261">
      <c r="A261" s="1" t="s">
        <v>12</v>
      </c>
      <c r="B261" s="2" t="str">
        <f>HYPERLINK("https://bihardware.atlassian.net/browse/EMBEDDED-1609?atlOrigin=eyJpIjoiYzgwYTQ0ZjEyNzQzNGJhN2JmNjEyZTM0NmRhZWZhNjIiLCJwIjoic2hlZXRzLWppcmEifQ","EMBEDDED-1609")</f>
        <v>EMBEDDED-1609</v>
      </c>
      <c r="C261" s="1" t="s">
        <v>283</v>
      </c>
      <c r="D261" s="1" t="s">
        <v>14</v>
      </c>
      <c r="E261" s="1" t="s">
        <v>220</v>
      </c>
      <c r="F261" s="1" t="s">
        <v>84</v>
      </c>
      <c r="G261" s="1" t="s">
        <v>218</v>
      </c>
      <c r="H261" s="1" t="s">
        <v>18</v>
      </c>
      <c r="I261" s="3">
        <v>45896.12148148148</v>
      </c>
      <c r="J261" s="3">
        <v>45896.12152777778</v>
      </c>
      <c r="K261" s="4">
        <v>45905.0</v>
      </c>
      <c r="L261" s="1">
        <v>1.0</v>
      </c>
    </row>
    <row r="262">
      <c r="A262" s="1" t="s">
        <v>12</v>
      </c>
      <c r="B262" s="2" t="str">
        <f>HYPERLINK("https://bihardware.atlassian.net/browse/EMBEDDED-1620?atlOrigin=eyJpIjoiYzgwYTQ0ZjEyNzQzNGJhN2JmNjEyZTM0NmRhZWZhNjIiLCJwIjoic2hlZXRzLWppcmEifQ","EMBEDDED-1620")</f>
        <v>EMBEDDED-1620</v>
      </c>
      <c r="C262" s="1" t="s">
        <v>284</v>
      </c>
      <c r="D262" s="1" t="s">
        <v>14</v>
      </c>
      <c r="E262" s="1" t="s">
        <v>220</v>
      </c>
      <c r="F262" s="1" t="s">
        <v>16</v>
      </c>
      <c r="G262" s="1" t="s">
        <v>17</v>
      </c>
      <c r="H262" s="1" t="s">
        <v>17</v>
      </c>
      <c r="I262" s="3">
        <v>45902.2787962963</v>
      </c>
      <c r="J262" s="3">
        <v>45904.94260416667</v>
      </c>
      <c r="K262" s="4">
        <v>45911.0</v>
      </c>
      <c r="L262" s="1">
        <v>3.0</v>
      </c>
    </row>
    <row r="263">
      <c r="A263" s="1" t="s">
        <v>12</v>
      </c>
      <c r="B263" s="2" t="str">
        <f>HYPERLINK("https://bihardware.atlassian.net/browse/EMBEDDED-1621?atlOrigin=eyJpIjoiYzgwYTQ0ZjEyNzQzNGJhN2JmNjEyZTM0NmRhZWZhNjIiLCJwIjoic2hlZXRzLWppcmEifQ","EMBEDDED-1621")</f>
        <v>EMBEDDED-1621</v>
      </c>
      <c r="C263" s="1" t="s">
        <v>285</v>
      </c>
      <c r="D263" s="1" t="s">
        <v>14</v>
      </c>
      <c r="E263" s="1" t="s">
        <v>220</v>
      </c>
      <c r="F263" s="1" t="s">
        <v>16</v>
      </c>
      <c r="G263" s="1" t="s">
        <v>218</v>
      </c>
      <c r="H263" s="1" t="s">
        <v>18</v>
      </c>
      <c r="I263" s="3">
        <v>45904.941469907404</v>
      </c>
      <c r="J263" s="3">
        <v>45904.94329861111</v>
      </c>
      <c r="K263" s="4">
        <v>45916.0</v>
      </c>
      <c r="L263" s="1">
        <v>2.0</v>
      </c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drawing r:id="rId1"/>
</worksheet>
</file>